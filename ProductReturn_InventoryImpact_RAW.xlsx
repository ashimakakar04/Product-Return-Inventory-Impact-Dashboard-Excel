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8.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9.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24226"/>
  <mc:AlternateContent xmlns:mc="http://schemas.openxmlformats.org/markup-compatibility/2006">
    <mc:Choice Requires="x15">
      <x15ac:absPath xmlns:x15ac="http://schemas.microsoft.com/office/spreadsheetml/2010/11/ac" url="C:\Users\ankur\OneDrive\Desktop\Data Analyst\Projects\EXCEL\Product Return_Inventory Impact\"/>
    </mc:Choice>
  </mc:AlternateContent>
  <xr:revisionPtr revIDLastSave="0" documentId="13_ncr:1_{59CB5570-F32C-401D-A163-B04D640DC897}" xr6:coauthVersionLast="47" xr6:coauthVersionMax="47" xr10:uidLastSave="{00000000-0000-0000-0000-000000000000}"/>
  <bookViews>
    <workbookView xWindow="-108" yWindow="-108" windowWidth="23256" windowHeight="12456" activeTab="7" xr2:uid="{00000000-000D-0000-FFFF-FFFF00000000}"/>
  </bookViews>
  <sheets>
    <sheet name="Orders" sheetId="1" r:id="rId1"/>
    <sheet name="Orders V1" sheetId="13" state="hidden" r:id="rId2"/>
    <sheet name="Return" sheetId="24" r:id="rId3"/>
    <sheet name="Inventory" sheetId="3" r:id="rId4"/>
    <sheet name="Suppliers Infomation" sheetId="4" r:id="rId5"/>
    <sheet name="Products" sheetId="22" r:id="rId6"/>
    <sheet name="Supplier with Products" sheetId="11" r:id="rId7"/>
    <sheet name="Customers" sheetId="5" r:id="rId8"/>
    <sheet name="Pricing" sheetId="9" state="hidden" r:id="rId9"/>
    <sheet name="Report 1" sheetId="12" state="hidden" r:id="rId10"/>
    <sheet name="Report 1.2" sheetId="15" state="hidden" r:id="rId11"/>
    <sheet name="Report 1.3" sheetId="14" state="hidden" r:id="rId12"/>
    <sheet name="Report 2" sheetId="16" state="hidden" r:id="rId13"/>
    <sheet name="Report 2.1" sheetId="17" state="hidden" r:id="rId14"/>
    <sheet name="Report 4" sheetId="20" state="hidden" r:id="rId15"/>
    <sheet name="Report 5" sheetId="21" state="hidden" r:id="rId16"/>
    <sheet name="Report 3" sheetId="18" state="hidden" r:id="rId17"/>
  </sheets>
  <definedNames>
    <definedName name="_xlnm._FilterDatabase" localSheetId="7" hidden="1">'Customers'!$A$1:$I$251</definedName>
    <definedName name="_xlnm._FilterDatabase" localSheetId="0" hidden="1">Orders!$A$1:$E$1001</definedName>
    <definedName name="_xlnm._FilterDatabase" localSheetId="1" hidden="1">'Orders V1'!$A$1:$F$1001</definedName>
    <definedName name="_xlnm._FilterDatabase" localSheetId="2" hidden="1">Return!$A$1:$F$32</definedName>
    <definedName name="Slicer_Supplier_Country">#N/A</definedName>
  </definedNames>
  <calcPr calcId="191029"/>
  <pivotCaches>
    <pivotCache cacheId="20" r:id="rId18"/>
    <pivotCache cacheId="21" r:id="rId19"/>
    <pivotCache cacheId="22" r:id="rId20"/>
    <pivotCache cacheId="23" r:id="rId21"/>
  </pivotCaches>
  <extLst>
    <ext xmlns:x14="http://schemas.microsoft.com/office/spreadsheetml/2009/9/main" uri="{BBE1A952-AA13-448e-AADC-164F8A28A991}">
      <x14:slicerCaches>
        <x14:slicerCache r:id="rId2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13" l="1" a="1"/>
  <c r="H3" i="13" a="1"/>
  <c r="H4" i="13" a="1"/>
  <c r="H5" i="13" a="1"/>
  <c r="H6" i="13" a="1"/>
  <c r="H7" i="13" a="1"/>
  <c r="H8" i="13" a="1"/>
  <c r="H9" i="13" a="1"/>
  <c r="H10" i="13" a="1"/>
  <c r="H11" i="13" a="1"/>
  <c r="H12" i="13" a="1"/>
  <c r="H13" i="13" a="1"/>
  <c r="H14" i="13" a="1"/>
  <c r="H15" i="13" a="1"/>
  <c r="H16" i="13" a="1"/>
  <c r="H17" i="13" a="1"/>
  <c r="H18" i="13" a="1"/>
  <c r="H19" i="13" a="1"/>
  <c r="H20" i="13" a="1"/>
  <c r="H21" i="13" a="1"/>
  <c r="H22" i="13" a="1"/>
  <c r="H23" i="13" a="1"/>
  <c r="H24" i="13" a="1"/>
  <c r="H25" i="13" a="1"/>
  <c r="H26" i="13" a="1"/>
  <c r="H27" i="13" a="1"/>
  <c r="H28" i="13" a="1"/>
  <c r="H29" i="13" a="1"/>
  <c r="H30" i="13" a="1"/>
  <c r="H31" i="13" a="1"/>
  <c r="H32" i="13" a="1"/>
  <c r="H33" i="13" a="1"/>
  <c r="H34" i="13" a="1"/>
  <c r="H35" i="13" a="1"/>
  <c r="H36" i="13" a="1"/>
  <c r="H37" i="13" a="1"/>
  <c r="H38" i="13" a="1"/>
  <c r="H39" i="13" a="1"/>
  <c r="H40" i="13" a="1"/>
  <c r="H41" i="13" a="1"/>
  <c r="H42" i="13" a="1"/>
  <c r="H43" i="13" a="1"/>
  <c r="H44" i="13" a="1"/>
  <c r="H45" i="13" a="1"/>
  <c r="H46" i="13" a="1"/>
  <c r="H47" i="13" a="1"/>
  <c r="H48" i="13" a="1"/>
  <c r="H49" i="13" a="1"/>
  <c r="H50" i="13" a="1"/>
  <c r="H51" i="13" a="1"/>
  <c r="H52" i="13" a="1"/>
  <c r="H53" i="13" a="1"/>
  <c r="H54" i="13" a="1"/>
  <c r="H55" i="13" a="1"/>
  <c r="H56" i="13" a="1"/>
  <c r="H57" i="13" a="1"/>
  <c r="H58" i="13" a="1"/>
  <c r="H59" i="13" a="1"/>
  <c r="H60" i="13" a="1"/>
  <c r="H61" i="13" a="1"/>
  <c r="H62" i="13" a="1"/>
  <c r="H63" i="13" a="1"/>
  <c r="H64" i="13" a="1"/>
  <c r="H65" i="13" a="1"/>
  <c r="H66" i="13" a="1"/>
  <c r="H67" i="13" a="1"/>
  <c r="H68" i="13" a="1"/>
  <c r="H69" i="13" a="1"/>
  <c r="H70" i="13" a="1"/>
  <c r="H71" i="13" a="1"/>
  <c r="H72" i="13" a="1"/>
  <c r="H73" i="13" a="1"/>
  <c r="H74" i="13" a="1"/>
  <c r="H75" i="13" a="1"/>
  <c r="H76" i="13" a="1"/>
  <c r="H77" i="13" a="1"/>
  <c r="H78" i="13" a="1"/>
  <c r="H79" i="13" a="1"/>
  <c r="H80" i="13" a="1"/>
  <c r="H81" i="13" a="1"/>
  <c r="H82" i="13" a="1"/>
  <c r="H83" i="13" a="1"/>
  <c r="H84" i="13" a="1"/>
  <c r="H85" i="13" a="1"/>
  <c r="H86" i="13" a="1"/>
  <c r="H87" i="13" a="1"/>
  <c r="H88" i="13" a="1"/>
  <c r="H89" i="13" a="1"/>
  <c r="H90" i="13" a="1"/>
  <c r="H91" i="13" a="1"/>
  <c r="H92" i="13" a="1"/>
  <c r="H93" i="13" a="1"/>
  <c r="H94" i="13" a="1"/>
  <c r="H95" i="13" a="1"/>
  <c r="H96" i="13" a="1"/>
  <c r="H97" i="13" a="1"/>
  <c r="H98" i="13" a="1"/>
  <c r="H99" i="13" a="1"/>
  <c r="H100" i="13" a="1"/>
  <c r="H101" i="13" a="1"/>
  <c r="H102" i="13" a="1"/>
  <c r="H103" i="13" a="1"/>
  <c r="H104" i="13" a="1"/>
  <c r="H105" i="13" a="1"/>
  <c r="H106" i="13" a="1"/>
  <c r="H107" i="13" a="1"/>
  <c r="H108" i="13" a="1"/>
  <c r="H109" i="13" a="1"/>
  <c r="H110" i="13" a="1"/>
  <c r="H111" i="13" a="1"/>
  <c r="H112" i="13" a="1"/>
  <c r="H113" i="13" a="1"/>
  <c r="H114" i="13" a="1"/>
  <c r="H115" i="13" a="1"/>
  <c r="H116" i="13" a="1"/>
  <c r="H117" i="13" a="1"/>
  <c r="H118" i="13" a="1"/>
  <c r="H119" i="13" a="1"/>
  <c r="H120" i="13" a="1"/>
  <c r="H121" i="13" a="1"/>
  <c r="H122" i="13" a="1"/>
  <c r="H123" i="13" a="1"/>
  <c r="H124" i="13" a="1"/>
  <c r="H125" i="13" a="1"/>
  <c r="H126" i="13" a="1"/>
  <c r="H127" i="13" a="1"/>
  <c r="H128" i="13" a="1"/>
  <c r="H129" i="13" a="1"/>
  <c r="H130" i="13" a="1"/>
  <c r="H131" i="13" a="1"/>
  <c r="H132" i="13" a="1"/>
  <c r="H133" i="13" a="1"/>
  <c r="H134" i="13" a="1"/>
  <c r="H135" i="13" a="1"/>
  <c r="H136" i="13" a="1"/>
  <c r="H137" i="13" a="1"/>
  <c r="H138" i="13" a="1"/>
  <c r="H139" i="13" a="1"/>
  <c r="H140" i="13" a="1"/>
  <c r="H141" i="13" a="1"/>
  <c r="H142" i="13" a="1"/>
  <c r="H143" i="13" a="1"/>
  <c r="H144" i="13" a="1"/>
  <c r="H145" i="13" a="1"/>
  <c r="H146" i="13" a="1"/>
  <c r="H147" i="13" a="1"/>
  <c r="H148" i="13" a="1"/>
  <c r="H149" i="13" a="1"/>
  <c r="H150" i="13" a="1"/>
  <c r="H151" i="13" a="1"/>
  <c r="H152" i="13" a="1"/>
  <c r="H153" i="13" a="1"/>
  <c r="H154" i="13" a="1"/>
  <c r="H155" i="13" a="1"/>
  <c r="H156" i="13" a="1"/>
  <c r="H157" i="13" a="1"/>
  <c r="H158" i="13" a="1"/>
  <c r="H159" i="13" a="1"/>
  <c r="H160" i="13" a="1"/>
  <c r="H161" i="13" a="1"/>
  <c r="H162" i="13" a="1"/>
  <c r="H163" i="13" a="1"/>
  <c r="H164" i="13" a="1"/>
  <c r="H165" i="13" a="1"/>
  <c r="H166" i="13" a="1"/>
  <c r="H167" i="13" a="1"/>
  <c r="H168" i="13" a="1"/>
  <c r="H169" i="13" a="1"/>
  <c r="H170" i="13" a="1"/>
  <c r="H171" i="13" a="1"/>
  <c r="H172" i="13" a="1"/>
  <c r="H173" i="13" a="1"/>
  <c r="H174" i="13" a="1"/>
  <c r="H175" i="13" a="1"/>
  <c r="H176" i="13" a="1"/>
  <c r="H177" i="13" a="1"/>
  <c r="H178" i="13" a="1"/>
  <c r="H179" i="13" a="1"/>
  <c r="H180" i="13" a="1"/>
  <c r="H181" i="13" a="1"/>
  <c r="H182" i="13" a="1"/>
  <c r="H183" i="13" a="1"/>
  <c r="H184" i="13" a="1"/>
  <c r="H185" i="13" a="1"/>
  <c r="H186" i="13" a="1"/>
  <c r="H187" i="13" a="1"/>
  <c r="H188" i="13" a="1"/>
  <c r="H189" i="13" a="1"/>
  <c r="H190" i="13" a="1"/>
  <c r="H191" i="13" a="1"/>
  <c r="H192" i="13" a="1"/>
  <c r="H193" i="13" a="1"/>
  <c r="H194" i="13" a="1"/>
  <c r="H195" i="13" a="1"/>
  <c r="H196" i="13" a="1"/>
  <c r="H197" i="13" a="1"/>
  <c r="H198" i="13" a="1"/>
  <c r="H199" i="13" a="1"/>
  <c r="H200" i="13" a="1"/>
  <c r="H201" i="13" a="1"/>
  <c r="H202" i="13" a="1"/>
  <c r="H203" i="13" a="1"/>
  <c r="H204" i="13" a="1"/>
  <c r="H205" i="13" a="1"/>
  <c r="H206" i="13" a="1"/>
  <c r="H207" i="13" a="1"/>
  <c r="H208" i="13" a="1"/>
  <c r="H209" i="13" a="1"/>
  <c r="H210" i="13" a="1"/>
  <c r="H211" i="13" a="1"/>
  <c r="H212" i="13" a="1"/>
  <c r="H213" i="13" a="1"/>
  <c r="H214" i="13" a="1"/>
  <c r="H215" i="13" a="1"/>
  <c r="H216" i="13" a="1"/>
  <c r="H217" i="13" a="1"/>
  <c r="H218" i="13" a="1"/>
  <c r="H219" i="13" a="1"/>
  <c r="H220" i="13" a="1"/>
  <c r="H221" i="13" a="1"/>
  <c r="H222" i="13" a="1"/>
  <c r="H223" i="13" a="1"/>
  <c r="H224" i="13" a="1"/>
  <c r="H225" i="13" a="1"/>
  <c r="H226" i="13" a="1"/>
  <c r="H227" i="13" a="1"/>
  <c r="H228" i="13" a="1"/>
  <c r="H229" i="13" a="1"/>
  <c r="H230" i="13" a="1"/>
  <c r="H231" i="13" a="1"/>
  <c r="H232" i="13" a="1"/>
  <c r="H233" i="13" a="1"/>
  <c r="H234" i="13" a="1"/>
  <c r="H235" i="13" a="1"/>
  <c r="H236" i="13" a="1"/>
  <c r="H237" i="13" a="1"/>
  <c r="H238" i="13" a="1"/>
  <c r="H239" i="13" a="1"/>
  <c r="H240" i="13" a="1"/>
  <c r="H241" i="13" a="1"/>
  <c r="H242" i="13" a="1"/>
  <c r="H243" i="13" a="1"/>
  <c r="H244" i="13" a="1"/>
  <c r="H245" i="13" a="1"/>
  <c r="H246" i="13" a="1"/>
  <c r="H247" i="13" a="1"/>
  <c r="H248" i="13" a="1"/>
  <c r="H249" i="13" a="1"/>
  <c r="H250" i="13" a="1"/>
  <c r="H251" i="13" a="1"/>
  <c r="H252" i="13" a="1"/>
  <c r="H253" i="13" a="1"/>
  <c r="H254" i="13" a="1"/>
  <c r="H255" i="13" a="1"/>
  <c r="H256" i="13" a="1"/>
  <c r="H257" i="13" a="1"/>
  <c r="H258" i="13" a="1"/>
  <c r="H259" i="13" a="1"/>
  <c r="H260" i="13" a="1"/>
  <c r="H261" i="13" a="1"/>
  <c r="H262" i="13" a="1"/>
  <c r="H263" i="13" a="1"/>
  <c r="H264" i="13" a="1"/>
  <c r="H265" i="13" a="1"/>
  <c r="H266" i="13" a="1"/>
  <c r="H267" i="13" a="1"/>
  <c r="H268" i="13" a="1"/>
  <c r="H269" i="13" a="1"/>
  <c r="H270" i="13" a="1"/>
  <c r="H271" i="13" a="1"/>
  <c r="H272" i="13" a="1"/>
  <c r="H273" i="13" a="1"/>
  <c r="H274" i="13" a="1"/>
  <c r="H275" i="13" a="1"/>
  <c r="H276" i="13" a="1"/>
  <c r="H277" i="13" a="1"/>
  <c r="H278" i="13" a="1"/>
  <c r="H279" i="13" a="1"/>
  <c r="H280" i="13" a="1"/>
  <c r="H281" i="13" a="1"/>
  <c r="H282" i="13" a="1"/>
  <c r="H283" i="13" a="1"/>
  <c r="H284" i="13" a="1"/>
  <c r="H285" i="13" a="1"/>
  <c r="H286" i="13" a="1"/>
  <c r="H287" i="13" a="1"/>
  <c r="H288" i="13" a="1"/>
  <c r="H289" i="13" a="1"/>
  <c r="H290" i="13" a="1"/>
  <c r="H291" i="13" a="1"/>
  <c r="H292" i="13" a="1"/>
  <c r="H293" i="13" a="1"/>
  <c r="H294" i="13" a="1"/>
  <c r="H295" i="13" a="1"/>
  <c r="H296" i="13" a="1"/>
  <c r="H297" i="13" a="1"/>
  <c r="H298" i="13" a="1"/>
  <c r="H299" i="13" a="1"/>
  <c r="H300" i="13" a="1"/>
  <c r="H301" i="13" a="1"/>
  <c r="H302" i="13" a="1"/>
  <c r="H303" i="13" a="1"/>
  <c r="H304" i="13" a="1"/>
  <c r="H305" i="13" a="1"/>
  <c r="H306" i="13" a="1"/>
  <c r="H307" i="13" a="1"/>
  <c r="H308" i="13" a="1"/>
  <c r="H309" i="13" a="1"/>
  <c r="H310" i="13" a="1"/>
  <c r="H311" i="13" a="1"/>
  <c r="H312" i="13" a="1"/>
  <c r="H313" i="13" a="1"/>
  <c r="H314" i="13" a="1"/>
  <c r="H315" i="13" a="1"/>
  <c r="H316" i="13" a="1"/>
  <c r="H317" i="13" a="1"/>
  <c r="H318" i="13" a="1"/>
  <c r="H319" i="13" a="1"/>
  <c r="H320" i="13" a="1"/>
  <c r="H321" i="13" a="1"/>
  <c r="H322" i="13" a="1"/>
  <c r="H323" i="13" a="1"/>
  <c r="H324" i="13" a="1"/>
  <c r="H325" i="13" a="1"/>
  <c r="H326" i="13" a="1"/>
  <c r="H327" i="13" a="1"/>
  <c r="H328" i="13" a="1"/>
  <c r="H329" i="13" a="1"/>
  <c r="H330" i="13" a="1"/>
  <c r="H331" i="13" a="1"/>
  <c r="H332" i="13" a="1"/>
  <c r="H333" i="13" a="1"/>
  <c r="H334" i="13" a="1"/>
  <c r="H335" i="13" a="1"/>
  <c r="H336" i="13" a="1"/>
  <c r="H337" i="13" a="1"/>
  <c r="H338" i="13" a="1"/>
  <c r="H339" i="13" a="1"/>
  <c r="H340" i="13" a="1"/>
  <c r="H341" i="13" a="1"/>
  <c r="H342" i="13" a="1"/>
  <c r="H343" i="13" a="1"/>
  <c r="H344" i="13" a="1"/>
  <c r="H345" i="13" a="1"/>
  <c r="H346" i="13" a="1"/>
  <c r="H347" i="13" a="1"/>
  <c r="H348" i="13" a="1"/>
  <c r="H349" i="13" a="1"/>
  <c r="H350" i="13" a="1"/>
  <c r="H351" i="13" a="1"/>
  <c r="H352" i="13" a="1"/>
  <c r="H353" i="13" a="1"/>
  <c r="H354" i="13" a="1"/>
  <c r="H355" i="13" a="1"/>
  <c r="H356" i="13" a="1"/>
  <c r="H357" i="13" a="1"/>
  <c r="H358" i="13" a="1"/>
  <c r="H359" i="13" a="1"/>
  <c r="H360" i="13" a="1"/>
  <c r="H361" i="13" a="1"/>
  <c r="H362" i="13" a="1"/>
  <c r="H363" i="13" a="1"/>
  <c r="H364" i="13" a="1"/>
  <c r="H365" i="13" a="1"/>
  <c r="H366" i="13" a="1"/>
  <c r="H367" i="13" a="1"/>
  <c r="H368" i="13" a="1"/>
  <c r="H369" i="13" a="1"/>
  <c r="H370" i="13" a="1"/>
  <c r="H371" i="13" a="1"/>
  <c r="H372" i="13" a="1"/>
  <c r="H373" i="13" a="1"/>
  <c r="H374" i="13" a="1"/>
  <c r="H375" i="13" a="1"/>
  <c r="H376" i="13" a="1"/>
  <c r="H377" i="13" a="1"/>
  <c r="H378" i="13" a="1"/>
  <c r="H379" i="13" a="1"/>
  <c r="H380" i="13" a="1"/>
  <c r="H381" i="13" a="1"/>
  <c r="H382" i="13" a="1"/>
  <c r="H383" i="13" a="1"/>
  <c r="H384" i="13" a="1"/>
  <c r="H385" i="13" a="1"/>
  <c r="H386" i="13" a="1"/>
  <c r="H387" i="13" a="1"/>
  <c r="H388" i="13" a="1"/>
  <c r="H389" i="13" a="1"/>
  <c r="H390" i="13" a="1"/>
  <c r="H391" i="13" a="1"/>
  <c r="H392" i="13" a="1"/>
  <c r="H393" i="13" a="1"/>
  <c r="H394" i="13" a="1"/>
  <c r="H395" i="13" a="1"/>
  <c r="H396" i="13" a="1"/>
  <c r="H397" i="13" a="1"/>
  <c r="H398" i="13" a="1"/>
  <c r="H399" i="13" a="1"/>
  <c r="H400" i="13" a="1"/>
  <c r="H401" i="13" a="1"/>
  <c r="H402" i="13" a="1"/>
  <c r="H403" i="13" a="1"/>
  <c r="H404" i="13" a="1"/>
  <c r="H405" i="13" a="1"/>
  <c r="H406" i="13" a="1"/>
  <c r="H407" i="13" a="1"/>
  <c r="H408" i="13" a="1"/>
  <c r="H409" i="13" a="1"/>
  <c r="H410" i="13" a="1"/>
  <c r="H411" i="13" a="1"/>
  <c r="H412" i="13" a="1"/>
  <c r="H413" i="13" a="1"/>
  <c r="H414" i="13" a="1"/>
  <c r="H415" i="13" a="1"/>
  <c r="H416" i="13" a="1"/>
  <c r="H417" i="13" a="1"/>
  <c r="H418" i="13" a="1"/>
  <c r="H419" i="13" a="1"/>
  <c r="H420" i="13" a="1"/>
  <c r="H421" i="13" a="1"/>
  <c r="H422" i="13" a="1"/>
  <c r="H423" i="13" a="1"/>
  <c r="H424" i="13" a="1"/>
  <c r="H425" i="13" a="1"/>
  <c r="H426" i="13" a="1"/>
  <c r="H427" i="13" a="1"/>
  <c r="H428" i="13" a="1"/>
  <c r="H429" i="13" a="1"/>
  <c r="H430" i="13" a="1"/>
  <c r="H431" i="13" a="1"/>
  <c r="H432" i="13" a="1"/>
  <c r="H433" i="13" a="1"/>
  <c r="H434" i="13" a="1"/>
  <c r="H435" i="13" a="1"/>
  <c r="H436" i="13" a="1"/>
  <c r="H437" i="13" a="1"/>
  <c r="H438" i="13" a="1"/>
  <c r="H439" i="13" a="1"/>
  <c r="H440" i="13" a="1"/>
  <c r="H441" i="13" a="1"/>
  <c r="H442" i="13" a="1"/>
  <c r="H443" i="13" a="1"/>
  <c r="H444" i="13" a="1"/>
  <c r="H445" i="13" a="1"/>
  <c r="H446" i="13" a="1"/>
  <c r="H447" i="13" a="1"/>
  <c r="H448" i="13" a="1"/>
  <c r="H449" i="13" a="1"/>
  <c r="H450" i="13" a="1"/>
  <c r="H451" i="13" a="1"/>
  <c r="H452" i="13" a="1"/>
  <c r="H453" i="13" a="1"/>
  <c r="H454" i="13" a="1"/>
  <c r="H455" i="13" a="1"/>
  <c r="H456" i="13" a="1"/>
  <c r="H457" i="13" a="1"/>
  <c r="H458" i="13" a="1"/>
  <c r="H459" i="13" a="1"/>
  <c r="H460" i="13" a="1"/>
  <c r="H461" i="13" a="1"/>
  <c r="H462" i="13" a="1"/>
  <c r="H463" i="13" a="1"/>
  <c r="H464" i="13" a="1"/>
  <c r="H465" i="13" a="1"/>
  <c r="H466" i="13" a="1"/>
  <c r="H467" i="13" a="1"/>
  <c r="H468" i="13" a="1"/>
  <c r="H469" i="13" a="1"/>
  <c r="H470" i="13" a="1"/>
  <c r="H471" i="13" a="1"/>
  <c r="H472" i="13" a="1"/>
  <c r="H473" i="13" a="1"/>
  <c r="H474" i="13" a="1"/>
  <c r="H475" i="13" a="1"/>
  <c r="H476" i="13" a="1"/>
  <c r="H477" i="13" a="1"/>
  <c r="H478" i="13" a="1"/>
  <c r="H479" i="13" a="1"/>
  <c r="H480" i="13" a="1"/>
  <c r="H481" i="13" a="1"/>
  <c r="H482" i="13" a="1"/>
  <c r="H483" i="13" a="1"/>
  <c r="H484" i="13" a="1"/>
  <c r="H485" i="13" a="1"/>
  <c r="H486" i="13" a="1"/>
  <c r="H487" i="13" a="1"/>
  <c r="H488" i="13" a="1"/>
  <c r="H489" i="13" a="1"/>
  <c r="H490" i="13" a="1"/>
  <c r="H491" i="13" a="1"/>
  <c r="H492" i="13" a="1"/>
  <c r="H493" i="13" a="1"/>
  <c r="H494" i="13" a="1"/>
  <c r="H495" i="13" a="1"/>
  <c r="H496" i="13" a="1"/>
  <c r="H497" i="13" a="1"/>
  <c r="H498" i="13" a="1"/>
  <c r="H499" i="13" a="1"/>
  <c r="H500" i="13" a="1"/>
  <c r="H501" i="13" a="1"/>
  <c r="H502" i="13" a="1"/>
  <c r="H503" i="13" a="1"/>
  <c r="H504" i="13" a="1"/>
  <c r="H505" i="13" a="1"/>
  <c r="H506" i="13" a="1"/>
  <c r="H507" i="13" a="1"/>
  <c r="H508" i="13" a="1"/>
  <c r="H509" i="13" a="1"/>
  <c r="H510" i="13" a="1"/>
  <c r="H511" i="13" a="1"/>
  <c r="H512" i="13" a="1"/>
  <c r="H513" i="13" a="1"/>
  <c r="H514" i="13" a="1"/>
  <c r="H515" i="13" a="1"/>
  <c r="H516" i="13" a="1"/>
  <c r="H517" i="13" a="1"/>
  <c r="H518" i="13" a="1"/>
  <c r="H519" i="13" a="1"/>
  <c r="H520" i="13" a="1"/>
  <c r="H521" i="13" a="1"/>
  <c r="H522" i="13" a="1"/>
  <c r="H523" i="13" a="1"/>
  <c r="H524" i="13" a="1"/>
  <c r="H525" i="13" a="1"/>
  <c r="H526" i="13" a="1"/>
  <c r="H527" i="13" a="1"/>
  <c r="H528" i="13" a="1"/>
  <c r="H529" i="13" a="1"/>
  <c r="H530" i="13" a="1"/>
  <c r="H531" i="13" a="1"/>
  <c r="H532" i="13" a="1"/>
  <c r="H533" i="13" a="1"/>
  <c r="H534" i="13" a="1"/>
  <c r="H535" i="13" a="1"/>
  <c r="H536" i="13" a="1"/>
  <c r="H537" i="13" a="1"/>
  <c r="H538" i="13" a="1"/>
  <c r="H539" i="13" a="1"/>
  <c r="H540" i="13" a="1"/>
  <c r="H541" i="13" a="1"/>
  <c r="H542" i="13" a="1"/>
  <c r="H543" i="13" a="1"/>
  <c r="H544" i="13" a="1"/>
  <c r="H545" i="13" a="1"/>
  <c r="H546" i="13" a="1"/>
  <c r="H547" i="13" a="1"/>
  <c r="H548" i="13" a="1"/>
  <c r="H549" i="13" a="1"/>
  <c r="H550" i="13" a="1"/>
  <c r="H551" i="13" a="1"/>
  <c r="H552" i="13" a="1"/>
  <c r="H553" i="13" a="1"/>
  <c r="H554" i="13" a="1"/>
  <c r="H555" i="13" a="1"/>
  <c r="H556" i="13" a="1"/>
  <c r="H557" i="13" a="1"/>
  <c r="H558" i="13" a="1"/>
  <c r="H559" i="13" a="1"/>
  <c r="H560" i="13" a="1"/>
  <c r="H561" i="13" a="1"/>
  <c r="H562" i="13" a="1"/>
  <c r="H563" i="13" a="1"/>
  <c r="H564" i="13" a="1"/>
  <c r="H565" i="13" a="1"/>
  <c r="H566" i="13" a="1"/>
  <c r="H567" i="13" a="1"/>
  <c r="H568" i="13" a="1"/>
  <c r="H569" i="13" a="1"/>
  <c r="H570" i="13" a="1"/>
  <c r="H571" i="13" a="1"/>
  <c r="H572" i="13" a="1"/>
  <c r="H573" i="13" a="1"/>
  <c r="H574" i="13" a="1"/>
  <c r="H575" i="13" a="1"/>
  <c r="H576" i="13" a="1"/>
  <c r="H577" i="13" a="1"/>
  <c r="H578" i="13" a="1"/>
  <c r="H579" i="13" a="1"/>
  <c r="H580" i="13" a="1"/>
  <c r="H581" i="13" a="1"/>
  <c r="H582" i="13" a="1"/>
  <c r="H583" i="13" a="1"/>
  <c r="H584" i="13" a="1"/>
  <c r="H585" i="13" a="1"/>
  <c r="H586" i="13" a="1"/>
  <c r="H587" i="13" a="1"/>
  <c r="H588" i="13" a="1"/>
  <c r="H589" i="13" a="1"/>
  <c r="H590" i="13" a="1"/>
  <c r="H591" i="13" a="1"/>
  <c r="H592" i="13" a="1"/>
  <c r="H593" i="13" a="1"/>
  <c r="H594" i="13" a="1"/>
  <c r="H595" i="13" a="1"/>
  <c r="H596" i="13" a="1"/>
  <c r="H597" i="13" a="1"/>
  <c r="H598" i="13" a="1"/>
  <c r="H599" i="13" a="1"/>
  <c r="H600" i="13" a="1"/>
  <c r="H601" i="13" a="1"/>
  <c r="H602" i="13" a="1"/>
  <c r="H603" i="13" a="1"/>
  <c r="H604" i="13" a="1"/>
  <c r="H605" i="13" a="1"/>
  <c r="H606" i="13" a="1"/>
  <c r="H607" i="13" a="1"/>
  <c r="H608" i="13" a="1"/>
  <c r="H609" i="13" a="1"/>
  <c r="H610" i="13" a="1"/>
  <c r="H611" i="13" a="1"/>
  <c r="H612" i="13" a="1"/>
  <c r="H613" i="13" a="1"/>
  <c r="H614" i="13" a="1"/>
  <c r="H615" i="13" a="1"/>
  <c r="H616" i="13" a="1"/>
  <c r="H617" i="13" a="1"/>
  <c r="H618" i="13" a="1"/>
  <c r="H619" i="13" a="1"/>
  <c r="H620" i="13" a="1"/>
  <c r="H621" i="13" a="1"/>
  <c r="H622" i="13" a="1"/>
  <c r="H623" i="13" a="1"/>
  <c r="H624" i="13" a="1"/>
  <c r="H625" i="13" a="1"/>
  <c r="H626" i="13" a="1"/>
  <c r="H627" i="13" a="1"/>
  <c r="H628" i="13" a="1"/>
  <c r="H629" i="13" a="1"/>
  <c r="H630" i="13" a="1"/>
  <c r="H631" i="13" a="1"/>
  <c r="H632" i="13" a="1"/>
  <c r="H633" i="13" a="1"/>
  <c r="H634" i="13" a="1"/>
  <c r="H635" i="13" a="1"/>
  <c r="H636" i="13" a="1"/>
  <c r="H637" i="13" a="1"/>
  <c r="H638" i="13" a="1"/>
  <c r="H639" i="13" a="1"/>
  <c r="H640" i="13" a="1"/>
  <c r="H641" i="13" a="1"/>
  <c r="H642" i="13" a="1"/>
  <c r="H643" i="13" a="1"/>
  <c r="H644" i="13" a="1"/>
  <c r="H645" i="13" a="1"/>
  <c r="H646" i="13" a="1"/>
  <c r="H647" i="13" a="1"/>
  <c r="H648" i="13" a="1"/>
  <c r="H649" i="13" a="1"/>
  <c r="H650" i="13" a="1"/>
  <c r="H651" i="13" a="1"/>
  <c r="H652" i="13" a="1"/>
  <c r="H653" i="13" a="1"/>
  <c r="H654" i="13" a="1"/>
  <c r="H655" i="13" a="1"/>
  <c r="H656" i="13" a="1"/>
  <c r="H657" i="13" a="1"/>
  <c r="H658" i="13" a="1"/>
  <c r="H659" i="13" a="1"/>
  <c r="H660" i="13" a="1"/>
  <c r="H661" i="13" a="1"/>
  <c r="H662" i="13" a="1"/>
  <c r="H663" i="13" a="1"/>
  <c r="H664" i="13" a="1"/>
  <c r="H665" i="13" a="1"/>
  <c r="H666" i="13" a="1"/>
  <c r="H667" i="13" a="1"/>
  <c r="H668" i="13" a="1"/>
  <c r="H669" i="13" a="1"/>
  <c r="H670" i="13" a="1"/>
  <c r="H671" i="13" a="1"/>
  <c r="H672" i="13" a="1"/>
  <c r="H673" i="13" a="1"/>
  <c r="H674" i="13" a="1"/>
  <c r="H675" i="13" a="1"/>
  <c r="H676" i="13" a="1"/>
  <c r="H677" i="13" a="1"/>
  <c r="H678" i="13" a="1"/>
  <c r="H679" i="13" a="1"/>
  <c r="H680" i="13" a="1"/>
  <c r="H681" i="13" a="1"/>
  <c r="H682" i="13" a="1"/>
  <c r="H683" i="13" a="1"/>
  <c r="H684" i="13" a="1"/>
  <c r="H685" i="13" a="1"/>
  <c r="H686" i="13" a="1"/>
  <c r="H687" i="13" a="1"/>
  <c r="H688" i="13" a="1"/>
  <c r="H689" i="13" a="1"/>
  <c r="H690" i="13" a="1"/>
  <c r="H691" i="13" a="1"/>
  <c r="H692" i="13" a="1"/>
  <c r="H693" i="13" a="1"/>
  <c r="H694" i="13" a="1"/>
  <c r="H695" i="13" a="1"/>
  <c r="H696" i="13" a="1"/>
  <c r="H697" i="13" a="1"/>
  <c r="H698" i="13" a="1"/>
  <c r="H699" i="13" a="1"/>
  <c r="H700" i="13" a="1"/>
  <c r="H701" i="13" a="1"/>
  <c r="H702" i="13" a="1"/>
  <c r="H703" i="13" a="1"/>
  <c r="H704" i="13" a="1"/>
  <c r="H705" i="13" a="1"/>
  <c r="H706" i="13" a="1"/>
  <c r="H707" i="13" a="1"/>
  <c r="H708" i="13" a="1"/>
  <c r="H709" i="13" a="1"/>
  <c r="H710" i="13" a="1"/>
  <c r="H711" i="13" a="1"/>
  <c r="H712" i="13" a="1"/>
  <c r="H713" i="13" a="1"/>
  <c r="H714" i="13" a="1"/>
  <c r="H715" i="13" a="1"/>
  <c r="H716" i="13" a="1"/>
  <c r="H717" i="13" a="1"/>
  <c r="H718" i="13" a="1"/>
  <c r="H719" i="13" a="1"/>
  <c r="H720" i="13" a="1"/>
  <c r="H721" i="13" a="1"/>
  <c r="H722" i="13" a="1"/>
  <c r="H723" i="13" a="1"/>
  <c r="H724" i="13" a="1"/>
  <c r="H725" i="13" a="1"/>
  <c r="H726" i="13" a="1"/>
  <c r="H727" i="13" a="1"/>
  <c r="H728" i="13" a="1"/>
  <c r="H729" i="13" a="1"/>
  <c r="H730" i="13" a="1"/>
  <c r="H731" i="13" a="1"/>
  <c r="H732" i="13" a="1"/>
  <c r="H733" i="13" a="1"/>
  <c r="H734" i="13" a="1"/>
  <c r="H735" i="13" a="1"/>
  <c r="H736" i="13" a="1"/>
  <c r="H737" i="13" a="1"/>
  <c r="H738" i="13" a="1"/>
  <c r="H739" i="13" a="1"/>
  <c r="H740" i="13" a="1"/>
  <c r="H741" i="13" a="1"/>
  <c r="H742" i="13" a="1"/>
  <c r="H743" i="13" a="1"/>
  <c r="H744" i="13" a="1"/>
  <c r="H745" i="13" a="1"/>
  <c r="H746" i="13" a="1"/>
  <c r="H747" i="13" a="1"/>
  <c r="H748" i="13" a="1"/>
  <c r="H749" i="13" a="1"/>
  <c r="H750" i="13" a="1"/>
  <c r="H751" i="13" a="1"/>
  <c r="H752" i="13" a="1"/>
  <c r="H753" i="13" a="1"/>
  <c r="H754" i="13" a="1"/>
  <c r="H755" i="13" a="1"/>
  <c r="H756" i="13" a="1"/>
  <c r="H757" i="13" a="1"/>
  <c r="H758" i="13" a="1"/>
  <c r="H759" i="13" a="1"/>
  <c r="H760" i="13" a="1"/>
  <c r="H761" i="13" a="1"/>
  <c r="H762" i="13" a="1"/>
  <c r="H763" i="13" a="1"/>
  <c r="H764" i="13" a="1"/>
  <c r="H765" i="13" a="1"/>
  <c r="H766" i="13" a="1"/>
  <c r="H767" i="13" a="1"/>
  <c r="H768" i="13" a="1"/>
  <c r="H769" i="13" a="1"/>
  <c r="H770" i="13" a="1"/>
  <c r="H771" i="13" a="1"/>
  <c r="H772" i="13" a="1"/>
  <c r="H773" i="13" a="1"/>
  <c r="H774" i="13" a="1"/>
  <c r="H775" i="13" a="1"/>
  <c r="H776" i="13" a="1"/>
  <c r="H777" i="13" a="1"/>
  <c r="H778" i="13" a="1"/>
  <c r="H779" i="13" a="1"/>
  <c r="H780" i="13" a="1"/>
  <c r="H781" i="13" a="1"/>
  <c r="H782" i="13" a="1"/>
  <c r="H783" i="13" a="1"/>
  <c r="H784" i="13" a="1"/>
  <c r="H785" i="13" a="1"/>
  <c r="H786" i="13" a="1"/>
  <c r="H787" i="13" a="1"/>
  <c r="H788" i="13" a="1"/>
  <c r="H789" i="13" a="1"/>
  <c r="H790" i="13" a="1"/>
  <c r="H791" i="13" a="1"/>
  <c r="H792" i="13" a="1"/>
  <c r="H793" i="13" a="1"/>
  <c r="H794" i="13" a="1"/>
  <c r="H795" i="13" a="1"/>
  <c r="H796" i="13" a="1"/>
  <c r="H797" i="13" a="1"/>
  <c r="H798" i="13" a="1"/>
  <c r="H799" i="13" a="1"/>
  <c r="H800" i="13" a="1"/>
  <c r="H801" i="13" a="1"/>
  <c r="H802" i="13" a="1"/>
  <c r="H803" i="13" a="1"/>
  <c r="H804" i="13" a="1"/>
  <c r="H805" i="13" a="1"/>
  <c r="H806" i="13" a="1"/>
  <c r="H807" i="13" a="1"/>
  <c r="H808" i="13" a="1"/>
  <c r="H809" i="13" a="1"/>
  <c r="H810" i="13" a="1"/>
  <c r="H811" i="13" a="1"/>
  <c r="H812" i="13" a="1"/>
  <c r="H813" i="13" a="1"/>
  <c r="H814" i="13" a="1"/>
  <c r="H815" i="13" a="1"/>
  <c r="H816" i="13" a="1"/>
  <c r="H817" i="13" a="1"/>
  <c r="H818" i="13" a="1"/>
  <c r="H819" i="13" a="1"/>
  <c r="H820" i="13" a="1"/>
  <c r="H821" i="13" a="1"/>
  <c r="H822" i="13" a="1"/>
  <c r="H823" i="13" a="1"/>
  <c r="H824" i="13" a="1"/>
  <c r="H825" i="13" a="1"/>
  <c r="H826" i="13" a="1"/>
  <c r="H827" i="13" a="1"/>
  <c r="H828" i="13" a="1"/>
  <c r="H829" i="13" a="1"/>
  <c r="H830" i="13" a="1"/>
  <c r="H831" i="13" a="1"/>
  <c r="H832" i="13" a="1"/>
  <c r="H833" i="13" a="1"/>
  <c r="H834" i="13" a="1"/>
  <c r="H835" i="13" a="1"/>
  <c r="H836" i="13" a="1"/>
  <c r="H837" i="13" a="1"/>
  <c r="H838" i="13" a="1"/>
  <c r="H839" i="13" a="1"/>
  <c r="H840" i="13" a="1"/>
  <c r="H841" i="13" a="1"/>
  <c r="H842" i="13" a="1"/>
  <c r="H843" i="13" a="1"/>
  <c r="H844" i="13" a="1"/>
  <c r="H845" i="13" a="1"/>
  <c r="H846" i="13" a="1"/>
  <c r="H847" i="13" a="1"/>
  <c r="H848" i="13" a="1"/>
  <c r="H849" i="13" a="1"/>
  <c r="H850" i="13" a="1"/>
  <c r="H851" i="13" a="1"/>
  <c r="H852" i="13" a="1"/>
  <c r="H853" i="13" a="1"/>
  <c r="H854" i="13" a="1"/>
  <c r="H855" i="13" a="1"/>
  <c r="H856" i="13" a="1"/>
  <c r="H857" i="13" a="1"/>
  <c r="H858" i="13" a="1"/>
  <c r="H859" i="13" a="1"/>
  <c r="H860" i="13" a="1"/>
  <c r="H861" i="13" a="1"/>
  <c r="H862" i="13" a="1"/>
  <c r="H863" i="13" a="1"/>
  <c r="H864" i="13" a="1"/>
  <c r="H865" i="13" a="1"/>
  <c r="H866" i="13" a="1"/>
  <c r="H867" i="13" a="1"/>
  <c r="H868" i="13" a="1"/>
  <c r="H869" i="13" a="1"/>
  <c r="H870" i="13" a="1"/>
  <c r="H871" i="13" a="1"/>
  <c r="H872" i="13" a="1"/>
  <c r="H873" i="13" a="1"/>
  <c r="H874" i="13" a="1"/>
  <c r="H875" i="13" a="1"/>
  <c r="H876" i="13" a="1"/>
  <c r="H877" i="13" a="1"/>
  <c r="H878" i="13" a="1"/>
  <c r="H879" i="13" a="1"/>
  <c r="H880" i="13" a="1"/>
  <c r="H881" i="13" a="1"/>
  <c r="H882" i="13" a="1"/>
  <c r="H883" i="13" a="1"/>
  <c r="H884" i="13" a="1"/>
  <c r="H885" i="13" a="1"/>
  <c r="H886" i="13" a="1"/>
  <c r="H887" i="13" a="1"/>
  <c r="H888" i="13" a="1"/>
  <c r="H889" i="13" a="1"/>
  <c r="H890" i="13" a="1"/>
  <c r="H891" i="13" a="1"/>
  <c r="H892" i="13" a="1"/>
  <c r="H893" i="13" a="1"/>
  <c r="H894" i="13" a="1"/>
  <c r="H895" i="13" a="1"/>
  <c r="H896" i="13" a="1"/>
  <c r="H897" i="13" a="1"/>
  <c r="H898" i="13" a="1"/>
  <c r="H899" i="13" a="1"/>
  <c r="H900" i="13" a="1"/>
  <c r="H901" i="13" a="1"/>
  <c r="H902" i="13" a="1"/>
  <c r="H903" i="13" a="1"/>
  <c r="H904" i="13" a="1"/>
  <c r="H905" i="13" a="1"/>
  <c r="H906" i="13" a="1"/>
  <c r="H907" i="13" a="1"/>
  <c r="H908" i="13" a="1"/>
  <c r="H909" i="13" a="1"/>
  <c r="H910" i="13" a="1"/>
  <c r="H911" i="13" a="1"/>
  <c r="H912" i="13" a="1"/>
  <c r="H913" i="13" a="1"/>
  <c r="H914" i="13" a="1"/>
  <c r="H915" i="13" a="1"/>
  <c r="H916" i="13" a="1"/>
  <c r="H917" i="13" a="1"/>
  <c r="H918" i="13" a="1"/>
  <c r="H919" i="13" a="1"/>
  <c r="H920" i="13" a="1"/>
  <c r="H921" i="13" a="1"/>
  <c r="H922" i="13" a="1"/>
  <c r="H923" i="13" a="1"/>
  <c r="H924" i="13" a="1"/>
  <c r="H925" i="13" a="1"/>
  <c r="H926" i="13" a="1"/>
  <c r="H927" i="13" a="1"/>
  <c r="H928" i="13" a="1"/>
  <c r="H929" i="13" a="1"/>
  <c r="H930" i="13" a="1"/>
  <c r="H931" i="13" a="1"/>
  <c r="H932" i="13" a="1"/>
  <c r="H933" i="13" a="1"/>
  <c r="H934" i="13" a="1"/>
  <c r="H935" i="13" a="1"/>
  <c r="H936" i="13" a="1"/>
  <c r="H937" i="13" a="1"/>
  <c r="H938" i="13" a="1"/>
  <c r="H939" i="13" a="1"/>
  <c r="H940" i="13" a="1"/>
  <c r="H941" i="13" a="1"/>
  <c r="H942" i="13" a="1"/>
  <c r="H943" i="13" a="1"/>
  <c r="H944" i="13" a="1"/>
  <c r="H945" i="13" a="1"/>
  <c r="H946" i="13" a="1"/>
  <c r="H947" i="13" a="1"/>
  <c r="H948" i="13" a="1"/>
  <c r="H949" i="13" a="1"/>
  <c r="H950" i="13" a="1"/>
  <c r="H951" i="13" a="1"/>
  <c r="H952" i="13" a="1"/>
  <c r="H953" i="13" a="1"/>
  <c r="H954" i="13" a="1"/>
  <c r="H955" i="13" a="1"/>
  <c r="H956" i="13" a="1"/>
  <c r="H957" i="13" a="1"/>
  <c r="H958" i="13" a="1"/>
  <c r="H959" i="13" a="1"/>
  <c r="H960" i="13" a="1"/>
  <c r="H961" i="13" a="1"/>
  <c r="H962" i="13" a="1"/>
  <c r="H963" i="13" a="1"/>
  <c r="H964" i="13" a="1"/>
  <c r="H965" i="13" a="1"/>
  <c r="H966" i="13" a="1"/>
  <c r="H967" i="13" a="1"/>
  <c r="H968" i="13" a="1"/>
  <c r="H969" i="13" a="1"/>
  <c r="H970" i="13" a="1"/>
  <c r="H971" i="13" a="1"/>
  <c r="H972" i="13" a="1"/>
  <c r="H973" i="13" a="1"/>
  <c r="H974" i="13" a="1"/>
  <c r="H975" i="13" a="1"/>
  <c r="H976" i="13" a="1"/>
  <c r="H977" i="13" a="1"/>
  <c r="H978" i="13" a="1"/>
  <c r="H979" i="13" a="1"/>
  <c r="H980" i="13" a="1"/>
  <c r="H981" i="13" a="1"/>
  <c r="H982" i="13" a="1"/>
  <c r="H983" i="13" a="1"/>
  <c r="H984" i="13" a="1"/>
  <c r="H985" i="13" a="1"/>
  <c r="H986" i="13" a="1"/>
  <c r="H987" i="13" a="1"/>
  <c r="H988" i="13" a="1"/>
  <c r="H989" i="13" a="1"/>
  <c r="H990" i="13" a="1"/>
  <c r="H991" i="13" a="1"/>
  <c r="H992" i="13" a="1"/>
  <c r="H993" i="13" a="1"/>
  <c r="H994" i="13" a="1"/>
  <c r="H995" i="13" a="1"/>
  <c r="H996" i="13" a="1"/>
  <c r="H997" i="13" a="1"/>
  <c r="H998" i="13" a="1"/>
  <c r="H999" i="13" a="1"/>
  <c r="H1000" i="13" a="1"/>
  <c r="H1001" i="13" a="1"/>
  <c r="G2" i="13"/>
  <c r="G3" i="13"/>
  <c r="G4" i="13"/>
  <c r="G5" i="13"/>
  <c r="G6" i="13"/>
  <c r="G7" i="13"/>
  <c r="G8" i="13"/>
  <c r="G9" i="13"/>
  <c r="G10" i="13"/>
  <c r="G11" i="13"/>
  <c r="G12" i="13"/>
  <c r="G13" i="13"/>
  <c r="G14" i="13"/>
  <c r="G15" i="13"/>
  <c r="G16" i="13"/>
  <c r="G17" i="13"/>
  <c r="G18" i="13"/>
  <c r="G19" i="13"/>
  <c r="G20" i="13"/>
  <c r="G21" i="13"/>
  <c r="G22" i="13"/>
  <c r="G23" i="13"/>
  <c r="G24" i="13"/>
  <c r="G25" i="13"/>
  <c r="G26" i="13"/>
  <c r="G27" i="13"/>
  <c r="G28" i="13"/>
  <c r="G29" i="13"/>
  <c r="G30" i="13"/>
  <c r="G31" i="13"/>
  <c r="G32" i="13"/>
  <c r="G33" i="13"/>
  <c r="G34" i="13"/>
  <c r="G35" i="13"/>
  <c r="G36" i="13"/>
  <c r="G37" i="13"/>
  <c r="G38" i="13"/>
  <c r="G39" i="13"/>
  <c r="G40" i="13"/>
  <c r="G41" i="13"/>
  <c r="G42" i="13"/>
  <c r="G43" i="13"/>
  <c r="G44" i="13"/>
  <c r="G45" i="13"/>
  <c r="G46" i="13"/>
  <c r="G47" i="13"/>
  <c r="G48" i="13"/>
  <c r="G49" i="13"/>
  <c r="G50" i="13"/>
  <c r="G51" i="13"/>
  <c r="G52" i="13"/>
  <c r="G53" i="13"/>
  <c r="G54" i="13"/>
  <c r="G55" i="13"/>
  <c r="G56" i="13"/>
  <c r="G57" i="13"/>
  <c r="G58" i="13"/>
  <c r="G59" i="13"/>
  <c r="G60" i="13"/>
  <c r="G61" i="13"/>
  <c r="G62" i="13"/>
  <c r="G63" i="13"/>
  <c r="G64" i="13"/>
  <c r="G65" i="13"/>
  <c r="G66" i="13"/>
  <c r="G67" i="13"/>
  <c r="G68" i="13"/>
  <c r="G69" i="13"/>
  <c r="G70" i="13"/>
  <c r="G71" i="13"/>
  <c r="G72" i="13"/>
  <c r="G73" i="13"/>
  <c r="G74" i="13"/>
  <c r="G75" i="13"/>
  <c r="G76" i="13"/>
  <c r="G77" i="13"/>
  <c r="G78" i="13"/>
  <c r="G79" i="13"/>
  <c r="G80" i="13"/>
  <c r="G81" i="13"/>
  <c r="G82" i="13"/>
  <c r="G83" i="13"/>
  <c r="G84" i="13"/>
  <c r="G85" i="13"/>
  <c r="G86" i="13"/>
  <c r="G87" i="13"/>
  <c r="G88" i="13"/>
  <c r="G89" i="13"/>
  <c r="G90" i="13"/>
  <c r="G91" i="13"/>
  <c r="G92" i="13"/>
  <c r="G93" i="13"/>
  <c r="G94" i="13"/>
  <c r="G95" i="13"/>
  <c r="G96" i="13"/>
  <c r="G97" i="13"/>
  <c r="G98" i="13"/>
  <c r="G99" i="13"/>
  <c r="G100" i="13"/>
  <c r="G101" i="13"/>
  <c r="G102" i="13"/>
  <c r="G103" i="13"/>
  <c r="G104" i="13"/>
  <c r="G105" i="13"/>
  <c r="G106" i="13"/>
  <c r="G107" i="13"/>
  <c r="G108" i="13"/>
  <c r="G109" i="13"/>
  <c r="G110" i="13"/>
  <c r="G111" i="13"/>
  <c r="G112" i="13"/>
  <c r="G113" i="13"/>
  <c r="G114" i="13"/>
  <c r="G115" i="13"/>
  <c r="G116" i="13"/>
  <c r="G117" i="13"/>
  <c r="G118" i="13"/>
  <c r="G119" i="13"/>
  <c r="G120" i="13"/>
  <c r="G121" i="13"/>
  <c r="G122" i="13"/>
  <c r="G123" i="13"/>
  <c r="G124" i="13"/>
  <c r="G125" i="13"/>
  <c r="G126" i="13"/>
  <c r="G127" i="13"/>
  <c r="G128" i="13"/>
  <c r="G129" i="13"/>
  <c r="G130" i="13"/>
  <c r="G131" i="13"/>
  <c r="G132" i="13"/>
  <c r="G133" i="13"/>
  <c r="G134" i="13"/>
  <c r="G135" i="13"/>
  <c r="G136" i="13"/>
  <c r="G137" i="13"/>
  <c r="G138" i="13"/>
  <c r="G139" i="13"/>
  <c r="G140" i="13"/>
  <c r="G141" i="13"/>
  <c r="G142" i="13"/>
  <c r="G143" i="13"/>
  <c r="G144" i="13"/>
  <c r="G145" i="13"/>
  <c r="G146" i="13"/>
  <c r="G147" i="13"/>
  <c r="G148" i="13"/>
  <c r="G149" i="13"/>
  <c r="G150" i="13"/>
  <c r="G151" i="13"/>
  <c r="G152" i="13"/>
  <c r="G153" i="13"/>
  <c r="G154" i="13"/>
  <c r="G155" i="13"/>
  <c r="G156" i="13"/>
  <c r="G157" i="13"/>
  <c r="G158" i="13"/>
  <c r="G159" i="13"/>
  <c r="G160" i="13"/>
  <c r="G161" i="13"/>
  <c r="G162" i="13"/>
  <c r="G163" i="13"/>
  <c r="G164" i="13"/>
  <c r="G165" i="13"/>
  <c r="G166" i="13"/>
  <c r="G167" i="13"/>
  <c r="G168" i="13"/>
  <c r="G169" i="13"/>
  <c r="G170" i="13"/>
  <c r="G171" i="13"/>
  <c r="G172" i="13"/>
  <c r="G173" i="13"/>
  <c r="G174" i="13"/>
  <c r="G175" i="13"/>
  <c r="G176" i="13"/>
  <c r="G177" i="13"/>
  <c r="G178" i="13"/>
  <c r="G179" i="13"/>
  <c r="G180" i="13"/>
  <c r="G181" i="13"/>
  <c r="G182" i="13"/>
  <c r="G183" i="13"/>
  <c r="G184" i="13"/>
  <c r="G185" i="13"/>
  <c r="G186" i="13"/>
  <c r="G187" i="13"/>
  <c r="G188" i="13"/>
  <c r="G189" i="13"/>
  <c r="G190" i="13"/>
  <c r="G191" i="13"/>
  <c r="G192" i="13"/>
  <c r="G193" i="13"/>
  <c r="G194" i="13"/>
  <c r="G195" i="13"/>
  <c r="G196" i="13"/>
  <c r="G197" i="13"/>
  <c r="G198" i="13"/>
  <c r="G199" i="13"/>
  <c r="G200" i="13"/>
  <c r="G201" i="13"/>
  <c r="G202" i="13"/>
  <c r="G203" i="13"/>
  <c r="G204" i="13"/>
  <c r="G205" i="13"/>
  <c r="G206" i="13"/>
  <c r="G207" i="13"/>
  <c r="G208" i="13"/>
  <c r="G209" i="13"/>
  <c r="G210" i="13"/>
  <c r="G211" i="13"/>
  <c r="G212" i="13"/>
  <c r="G213" i="13"/>
  <c r="G214" i="13"/>
  <c r="G215" i="13"/>
  <c r="G216" i="13"/>
  <c r="G217" i="13"/>
  <c r="G218" i="13"/>
  <c r="G219" i="13"/>
  <c r="G220" i="13"/>
  <c r="G221" i="13"/>
  <c r="G222" i="13"/>
  <c r="G223" i="13"/>
  <c r="G224" i="13"/>
  <c r="G225" i="13"/>
  <c r="G226" i="13"/>
  <c r="G227" i="13"/>
  <c r="G228" i="13"/>
  <c r="G229" i="13"/>
  <c r="G230" i="13"/>
  <c r="G231" i="13"/>
  <c r="G232" i="13"/>
  <c r="G233" i="13"/>
  <c r="G234" i="13"/>
  <c r="G235" i="13"/>
  <c r="G236" i="13"/>
  <c r="G237" i="13"/>
  <c r="G238" i="13"/>
  <c r="G239" i="13"/>
  <c r="G240" i="13"/>
  <c r="G241" i="13"/>
  <c r="G242" i="13"/>
  <c r="G243" i="13"/>
  <c r="G244" i="13"/>
  <c r="G245" i="13"/>
  <c r="G246" i="13"/>
  <c r="G247" i="13"/>
  <c r="G248" i="13"/>
  <c r="G249" i="13"/>
  <c r="G250" i="13"/>
  <c r="G251" i="13"/>
  <c r="G252" i="13"/>
  <c r="G253" i="13"/>
  <c r="G254" i="13"/>
  <c r="G255" i="13"/>
  <c r="G256" i="13"/>
  <c r="G257" i="13"/>
  <c r="G258" i="13"/>
  <c r="G259" i="13"/>
  <c r="G260" i="13"/>
  <c r="G261" i="13"/>
  <c r="G262" i="13"/>
  <c r="G263" i="13"/>
  <c r="G264" i="13"/>
  <c r="G265" i="13"/>
  <c r="G266" i="13"/>
  <c r="G267" i="13"/>
  <c r="G268" i="13"/>
  <c r="G269" i="13"/>
  <c r="G270" i="13"/>
  <c r="G271" i="13"/>
  <c r="G272" i="13"/>
  <c r="G273" i="13"/>
  <c r="G274" i="13"/>
  <c r="G275" i="13"/>
  <c r="G276" i="13"/>
  <c r="G277" i="13"/>
  <c r="G278" i="13"/>
  <c r="G279" i="13"/>
  <c r="G280" i="13"/>
  <c r="G281" i="13"/>
  <c r="G282" i="13"/>
  <c r="G283" i="13"/>
  <c r="G284" i="13"/>
  <c r="G285" i="13"/>
  <c r="G286" i="13"/>
  <c r="G287" i="13"/>
  <c r="G288" i="13"/>
  <c r="G289" i="13"/>
  <c r="G290" i="13"/>
  <c r="G291" i="13"/>
  <c r="G292" i="13"/>
  <c r="G293" i="13"/>
  <c r="G294" i="13"/>
  <c r="G295" i="13"/>
  <c r="G296" i="13"/>
  <c r="G297" i="13"/>
  <c r="G298" i="13"/>
  <c r="G299" i="13"/>
  <c r="G300" i="13"/>
  <c r="G301" i="13"/>
  <c r="G302" i="13"/>
  <c r="G303" i="13"/>
  <c r="G304" i="13"/>
  <c r="G305" i="13"/>
  <c r="G306" i="13"/>
  <c r="G307" i="13"/>
  <c r="G308" i="13"/>
  <c r="G309" i="13"/>
  <c r="G310" i="13"/>
  <c r="G311" i="13"/>
  <c r="G312" i="13"/>
  <c r="G313" i="13"/>
  <c r="G314" i="13"/>
  <c r="G315" i="13"/>
  <c r="G316" i="13"/>
  <c r="G317" i="13"/>
  <c r="G318" i="13"/>
  <c r="G319" i="13"/>
  <c r="G320" i="13"/>
  <c r="G321" i="13"/>
  <c r="G322" i="13"/>
  <c r="G323" i="13"/>
  <c r="G324" i="13"/>
  <c r="G325" i="13"/>
  <c r="G326" i="13"/>
  <c r="G327" i="13"/>
  <c r="G328" i="13"/>
  <c r="G329" i="13"/>
  <c r="G330" i="13"/>
  <c r="G331" i="13"/>
  <c r="G332" i="13"/>
  <c r="G333" i="13"/>
  <c r="G334" i="13"/>
  <c r="G335" i="13"/>
  <c r="G336" i="13"/>
  <c r="G337" i="13"/>
  <c r="G338" i="13"/>
  <c r="G339" i="13"/>
  <c r="G340" i="13"/>
  <c r="G341" i="13"/>
  <c r="G342" i="13"/>
  <c r="G343" i="13"/>
  <c r="G344" i="13"/>
  <c r="G345" i="13"/>
  <c r="G346" i="13"/>
  <c r="G347" i="13"/>
  <c r="G348" i="13"/>
  <c r="G349" i="13"/>
  <c r="G350" i="13"/>
  <c r="G351" i="13"/>
  <c r="G352" i="13"/>
  <c r="G353" i="13"/>
  <c r="G354" i="13"/>
  <c r="G355" i="13"/>
  <c r="G356" i="13"/>
  <c r="G357" i="13"/>
  <c r="G358" i="13"/>
  <c r="G359" i="13"/>
  <c r="G360" i="13"/>
  <c r="G361" i="13"/>
  <c r="G362" i="13"/>
  <c r="G363" i="13"/>
  <c r="G364" i="13"/>
  <c r="G365" i="13"/>
  <c r="G366" i="13"/>
  <c r="G367" i="13"/>
  <c r="G368" i="13"/>
  <c r="G369" i="13"/>
  <c r="G370" i="13"/>
  <c r="G371" i="13"/>
  <c r="G372" i="13"/>
  <c r="G373" i="13"/>
  <c r="G374" i="13"/>
  <c r="G375" i="13"/>
  <c r="G376" i="13"/>
  <c r="G377" i="13"/>
  <c r="G378" i="13"/>
  <c r="G379" i="13"/>
  <c r="G380" i="13"/>
  <c r="G381" i="13"/>
  <c r="G382" i="13"/>
  <c r="G383" i="13"/>
  <c r="G384" i="13"/>
  <c r="G385" i="13"/>
  <c r="G386" i="13"/>
  <c r="G387" i="13"/>
  <c r="G388" i="13"/>
  <c r="G389" i="13"/>
  <c r="G390" i="13"/>
  <c r="G391" i="13"/>
  <c r="G392" i="13"/>
  <c r="G393" i="13"/>
  <c r="G394" i="13"/>
  <c r="G395" i="13"/>
  <c r="G396" i="13"/>
  <c r="G397" i="13"/>
  <c r="G398" i="13"/>
  <c r="G399" i="13"/>
  <c r="G400" i="13"/>
  <c r="G401" i="13"/>
  <c r="G402" i="13"/>
  <c r="G403" i="13"/>
  <c r="G404" i="13"/>
  <c r="G405" i="13"/>
  <c r="G406" i="13"/>
  <c r="G407" i="13"/>
  <c r="G408" i="13"/>
  <c r="G409" i="13"/>
  <c r="G410" i="13"/>
  <c r="G411" i="13"/>
  <c r="G412" i="13"/>
  <c r="G413" i="13"/>
  <c r="G414" i="13"/>
  <c r="G415" i="13"/>
  <c r="G416" i="13"/>
  <c r="G417" i="13"/>
  <c r="G418" i="13"/>
  <c r="G419" i="13"/>
  <c r="G420" i="13"/>
  <c r="G421" i="13"/>
  <c r="G422" i="13"/>
  <c r="G423" i="13"/>
  <c r="G424" i="13"/>
  <c r="G425" i="13"/>
  <c r="G426" i="13"/>
  <c r="G427" i="13"/>
  <c r="G428" i="13"/>
  <c r="G429" i="13"/>
  <c r="G430" i="13"/>
  <c r="G431" i="13"/>
  <c r="G432" i="13"/>
  <c r="G433" i="13"/>
  <c r="G434" i="13"/>
  <c r="G435" i="13"/>
  <c r="G436" i="13"/>
  <c r="G437" i="13"/>
  <c r="G438" i="13"/>
  <c r="G439" i="13"/>
  <c r="G440" i="13"/>
  <c r="G441" i="13"/>
  <c r="G442" i="13"/>
  <c r="G443" i="13"/>
  <c r="G444" i="13"/>
  <c r="G445" i="13"/>
  <c r="G446" i="13"/>
  <c r="G447" i="13"/>
  <c r="G448" i="13"/>
  <c r="G449" i="13"/>
  <c r="G450" i="13"/>
  <c r="G451" i="13"/>
  <c r="G452" i="13"/>
  <c r="G453" i="13"/>
  <c r="G454" i="13"/>
  <c r="G455" i="13"/>
  <c r="G456" i="13"/>
  <c r="G457" i="13"/>
  <c r="G458" i="13"/>
  <c r="G459" i="13"/>
  <c r="G460" i="13"/>
  <c r="G461" i="13"/>
  <c r="G462" i="13"/>
  <c r="G463" i="13"/>
  <c r="G464" i="13"/>
  <c r="G465" i="13"/>
  <c r="G466" i="13"/>
  <c r="G467" i="13"/>
  <c r="G468" i="13"/>
  <c r="G469" i="13"/>
  <c r="G470" i="13"/>
  <c r="G471" i="13"/>
  <c r="G472" i="13"/>
  <c r="G473" i="13"/>
  <c r="G474" i="13"/>
  <c r="G475" i="13"/>
  <c r="G476" i="13"/>
  <c r="G477" i="13"/>
  <c r="G478" i="13"/>
  <c r="G479" i="13"/>
  <c r="G480" i="13"/>
  <c r="G481" i="13"/>
  <c r="G482" i="13"/>
  <c r="G483" i="13"/>
  <c r="G484" i="13"/>
  <c r="G485" i="13"/>
  <c r="G486" i="13"/>
  <c r="G487" i="13"/>
  <c r="G488" i="13"/>
  <c r="G489" i="13"/>
  <c r="G490" i="13"/>
  <c r="G491" i="13"/>
  <c r="G492" i="13"/>
  <c r="G493" i="13"/>
  <c r="G494" i="13"/>
  <c r="G495" i="13"/>
  <c r="G496" i="13"/>
  <c r="G497" i="13"/>
  <c r="G498" i="13"/>
  <c r="G499" i="13"/>
  <c r="G500" i="13"/>
  <c r="G501" i="13"/>
  <c r="G502" i="13"/>
  <c r="G503" i="13"/>
  <c r="G504" i="13"/>
  <c r="G505" i="13"/>
  <c r="G506" i="13"/>
  <c r="G507" i="13"/>
  <c r="G508" i="13"/>
  <c r="G509" i="13"/>
  <c r="G510" i="13"/>
  <c r="G511" i="13"/>
  <c r="G512" i="13"/>
  <c r="G513" i="13"/>
  <c r="G514" i="13"/>
  <c r="G515" i="13"/>
  <c r="G516" i="13"/>
  <c r="G517" i="13"/>
  <c r="G518" i="13"/>
  <c r="G519" i="13"/>
  <c r="G520" i="13"/>
  <c r="G521" i="13"/>
  <c r="G522" i="13"/>
  <c r="G523" i="13"/>
  <c r="G524" i="13"/>
  <c r="G525" i="13"/>
  <c r="G526" i="13"/>
  <c r="G527" i="13"/>
  <c r="G528" i="13"/>
  <c r="G529" i="13"/>
  <c r="G530" i="13"/>
  <c r="G531" i="13"/>
  <c r="G532" i="13"/>
  <c r="G533" i="13"/>
  <c r="G534" i="13"/>
  <c r="G535" i="13"/>
  <c r="G536" i="13"/>
  <c r="G537" i="13"/>
  <c r="G538" i="13"/>
  <c r="G539" i="13"/>
  <c r="G540" i="13"/>
  <c r="G541" i="13"/>
  <c r="G542" i="13"/>
  <c r="G543" i="13"/>
  <c r="G544" i="13"/>
  <c r="G545" i="13"/>
  <c r="G546" i="13"/>
  <c r="G547" i="13"/>
  <c r="G548" i="13"/>
  <c r="G549" i="13"/>
  <c r="G550" i="13"/>
  <c r="G551" i="13"/>
  <c r="G552" i="13"/>
  <c r="G553" i="13"/>
  <c r="G554" i="13"/>
  <c r="G555" i="13"/>
  <c r="G556" i="13"/>
  <c r="G557" i="13"/>
  <c r="G558" i="13"/>
  <c r="G559" i="13"/>
  <c r="G560" i="13"/>
  <c r="G561" i="13"/>
  <c r="G562" i="13"/>
  <c r="G563" i="13"/>
  <c r="G564" i="13"/>
  <c r="G565" i="13"/>
  <c r="G566" i="13"/>
  <c r="G567" i="13"/>
  <c r="G568" i="13"/>
  <c r="G569" i="13"/>
  <c r="G570" i="13"/>
  <c r="G571" i="13"/>
  <c r="G572" i="13"/>
  <c r="G573" i="13"/>
  <c r="G574" i="13"/>
  <c r="G575" i="13"/>
  <c r="G576" i="13"/>
  <c r="G577" i="13"/>
  <c r="G578" i="13"/>
  <c r="G579" i="13"/>
  <c r="G580" i="13"/>
  <c r="G581" i="13"/>
  <c r="G582" i="13"/>
  <c r="G583" i="13"/>
  <c r="G584" i="13"/>
  <c r="G585" i="13"/>
  <c r="G586" i="13"/>
  <c r="G587" i="13"/>
  <c r="G588" i="13"/>
  <c r="G589" i="13"/>
  <c r="G590" i="13"/>
  <c r="G591" i="13"/>
  <c r="G592" i="13"/>
  <c r="G593" i="13"/>
  <c r="G594" i="13"/>
  <c r="G595" i="13"/>
  <c r="G596" i="13"/>
  <c r="G597" i="13"/>
  <c r="G598" i="13"/>
  <c r="G599" i="13"/>
  <c r="G600" i="13"/>
  <c r="G601" i="13"/>
  <c r="G602" i="13"/>
  <c r="G603" i="13"/>
  <c r="G604" i="13"/>
  <c r="G605" i="13"/>
  <c r="G606" i="13"/>
  <c r="G607" i="13"/>
  <c r="G608" i="13"/>
  <c r="G609" i="13"/>
  <c r="G610" i="13"/>
  <c r="G611" i="13"/>
  <c r="G612" i="13"/>
  <c r="G613" i="13"/>
  <c r="G614" i="13"/>
  <c r="G615" i="13"/>
  <c r="G616" i="13"/>
  <c r="G617" i="13"/>
  <c r="G618" i="13"/>
  <c r="G619" i="13"/>
  <c r="G620" i="13"/>
  <c r="G621" i="13"/>
  <c r="G622" i="13"/>
  <c r="G623" i="13"/>
  <c r="G624" i="13"/>
  <c r="G625" i="13"/>
  <c r="G626" i="13"/>
  <c r="G627" i="13"/>
  <c r="G628" i="13"/>
  <c r="G629" i="13"/>
  <c r="G630" i="13"/>
  <c r="G631" i="13"/>
  <c r="G632" i="13"/>
  <c r="G633" i="13"/>
  <c r="G634" i="13"/>
  <c r="G635" i="13"/>
  <c r="G636" i="13"/>
  <c r="G637" i="13"/>
  <c r="G638" i="13"/>
  <c r="G639" i="13"/>
  <c r="G640" i="13"/>
  <c r="G641" i="13"/>
  <c r="G642" i="13"/>
  <c r="G643" i="13"/>
  <c r="G644" i="13"/>
  <c r="G645" i="13"/>
  <c r="G646" i="13"/>
  <c r="G647" i="13"/>
  <c r="G648" i="13"/>
  <c r="G649" i="13"/>
  <c r="G650" i="13"/>
  <c r="G651" i="13"/>
  <c r="G652" i="13"/>
  <c r="G653" i="13"/>
  <c r="G654" i="13"/>
  <c r="G655" i="13"/>
  <c r="G656" i="13"/>
  <c r="G657" i="13"/>
  <c r="G658" i="13"/>
  <c r="G659" i="13"/>
  <c r="G660" i="13"/>
  <c r="G661" i="13"/>
  <c r="G662" i="13"/>
  <c r="G663" i="13"/>
  <c r="G664" i="13"/>
  <c r="G665" i="13"/>
  <c r="G666" i="13"/>
  <c r="G667" i="13"/>
  <c r="G668" i="13"/>
  <c r="G669" i="13"/>
  <c r="G670" i="13"/>
  <c r="G671" i="13"/>
  <c r="G672" i="13"/>
  <c r="G673" i="13"/>
  <c r="G674" i="13"/>
  <c r="G675" i="13"/>
  <c r="G676" i="13"/>
  <c r="G677" i="13"/>
  <c r="G678" i="13"/>
  <c r="G679" i="13"/>
  <c r="G680" i="13"/>
  <c r="G681" i="13"/>
  <c r="G682" i="13"/>
  <c r="G683" i="13"/>
  <c r="G684" i="13"/>
  <c r="G685" i="13"/>
  <c r="G686" i="13"/>
  <c r="G687" i="13"/>
  <c r="G688" i="13"/>
  <c r="G689" i="13"/>
  <c r="G690" i="13"/>
  <c r="G691" i="13"/>
  <c r="G692" i="13"/>
  <c r="G693" i="13"/>
  <c r="G694" i="13"/>
  <c r="G695" i="13"/>
  <c r="G696" i="13"/>
  <c r="G697" i="13"/>
  <c r="G698" i="13"/>
  <c r="G699" i="13"/>
  <c r="G700" i="13"/>
  <c r="G701" i="13"/>
  <c r="G702" i="13"/>
  <c r="G703" i="13"/>
  <c r="G704" i="13"/>
  <c r="G705" i="13"/>
  <c r="G706" i="13"/>
  <c r="G707" i="13"/>
  <c r="G708" i="13"/>
  <c r="G709" i="13"/>
  <c r="G710" i="13"/>
  <c r="G711" i="13"/>
  <c r="G712" i="13"/>
  <c r="G713" i="13"/>
  <c r="G714" i="13"/>
  <c r="G715" i="13"/>
  <c r="G716" i="13"/>
  <c r="G717" i="13"/>
  <c r="G718" i="13"/>
  <c r="G719" i="13"/>
  <c r="G720" i="13"/>
  <c r="G721" i="13"/>
  <c r="G722" i="13"/>
  <c r="G723" i="13"/>
  <c r="G724" i="13"/>
  <c r="G725" i="13"/>
  <c r="G726" i="13"/>
  <c r="G727" i="13"/>
  <c r="G728" i="13"/>
  <c r="G729" i="13"/>
  <c r="G730" i="13"/>
  <c r="G731" i="13"/>
  <c r="G732" i="13"/>
  <c r="G733" i="13"/>
  <c r="G734" i="13"/>
  <c r="G735" i="13"/>
  <c r="G736" i="13"/>
  <c r="G737" i="13"/>
  <c r="G738" i="13"/>
  <c r="G739" i="13"/>
  <c r="G740" i="13"/>
  <c r="G741" i="13"/>
  <c r="G742" i="13"/>
  <c r="G743" i="13"/>
  <c r="G744" i="13"/>
  <c r="G745" i="13"/>
  <c r="G746" i="13"/>
  <c r="G747" i="13"/>
  <c r="G748" i="13"/>
  <c r="G749" i="13"/>
  <c r="G750" i="13"/>
  <c r="G751" i="13"/>
  <c r="G752" i="13"/>
  <c r="G753" i="13"/>
  <c r="G754" i="13"/>
  <c r="G755" i="13"/>
  <c r="G756" i="13"/>
  <c r="G757" i="13"/>
  <c r="G758" i="13"/>
  <c r="G759" i="13"/>
  <c r="G760" i="13"/>
  <c r="G761" i="13"/>
  <c r="G762" i="13"/>
  <c r="G763" i="13"/>
  <c r="G764" i="13"/>
  <c r="G765" i="13"/>
  <c r="G766" i="13"/>
  <c r="G767" i="13"/>
  <c r="G768" i="13"/>
  <c r="G769" i="13"/>
  <c r="G770" i="13"/>
  <c r="G771" i="13"/>
  <c r="G772" i="13"/>
  <c r="G773" i="13"/>
  <c r="G774" i="13"/>
  <c r="G775" i="13"/>
  <c r="G776" i="13"/>
  <c r="G777" i="13"/>
  <c r="G778" i="13"/>
  <c r="G779" i="13"/>
  <c r="G780" i="13"/>
  <c r="G781" i="13"/>
  <c r="G782" i="13"/>
  <c r="G783" i="13"/>
  <c r="G784" i="13"/>
  <c r="G785" i="13"/>
  <c r="G786" i="13"/>
  <c r="G787" i="13"/>
  <c r="G788" i="13"/>
  <c r="G789" i="13"/>
  <c r="G790" i="13"/>
  <c r="G791" i="13"/>
  <c r="G792" i="13"/>
  <c r="G793" i="13"/>
  <c r="G794" i="13"/>
  <c r="G795" i="13"/>
  <c r="G796" i="13"/>
  <c r="G797" i="13"/>
  <c r="G798" i="13"/>
  <c r="G799" i="13"/>
  <c r="G800" i="13"/>
  <c r="G801" i="13"/>
  <c r="G802" i="13"/>
  <c r="G803" i="13"/>
  <c r="G804" i="13"/>
  <c r="G805" i="13"/>
  <c r="G806" i="13"/>
  <c r="G807" i="13"/>
  <c r="G808" i="13"/>
  <c r="G809" i="13"/>
  <c r="G810" i="13"/>
  <c r="G811" i="13"/>
  <c r="G812" i="13"/>
  <c r="G813" i="13"/>
  <c r="G814" i="13"/>
  <c r="G815" i="13"/>
  <c r="G816" i="13"/>
  <c r="G817" i="13"/>
  <c r="G818" i="13"/>
  <c r="G819" i="13"/>
  <c r="G820" i="13"/>
  <c r="G821" i="13"/>
  <c r="G822" i="13"/>
  <c r="G823" i="13"/>
  <c r="G824" i="13"/>
  <c r="G825" i="13"/>
  <c r="G826" i="13"/>
  <c r="G827" i="13"/>
  <c r="G828" i="13"/>
  <c r="G829" i="13"/>
  <c r="G830" i="13"/>
  <c r="G831" i="13"/>
  <c r="G832" i="13"/>
  <c r="G833" i="13"/>
  <c r="G834" i="13"/>
  <c r="G835" i="13"/>
  <c r="G836" i="13"/>
  <c r="G837" i="13"/>
  <c r="G838" i="13"/>
  <c r="G839" i="13"/>
  <c r="G840" i="13"/>
  <c r="G841" i="13"/>
  <c r="G842" i="13"/>
  <c r="G843" i="13"/>
  <c r="G844" i="13"/>
  <c r="G845" i="13"/>
  <c r="G846" i="13"/>
  <c r="G847" i="13"/>
  <c r="G848" i="13"/>
  <c r="G849" i="13"/>
  <c r="G850" i="13"/>
  <c r="G851" i="13"/>
  <c r="G852" i="13"/>
  <c r="G853" i="13"/>
  <c r="G854" i="13"/>
  <c r="G855" i="13"/>
  <c r="G856" i="13"/>
  <c r="G857" i="13"/>
  <c r="G858" i="13"/>
  <c r="G859" i="13"/>
  <c r="G860" i="13"/>
  <c r="G861" i="13"/>
  <c r="G862" i="13"/>
  <c r="G863" i="13"/>
  <c r="G864" i="13"/>
  <c r="G865" i="13"/>
  <c r="G866" i="13"/>
  <c r="G867" i="13"/>
  <c r="G868" i="13"/>
  <c r="G869" i="13"/>
  <c r="G870" i="13"/>
  <c r="G871" i="13"/>
  <c r="G872" i="13"/>
  <c r="G873" i="13"/>
  <c r="G874" i="13"/>
  <c r="G875" i="13"/>
  <c r="G876" i="13"/>
  <c r="G877" i="13"/>
  <c r="G878" i="13"/>
  <c r="G879" i="13"/>
  <c r="G880" i="13"/>
  <c r="G881" i="13"/>
  <c r="G882" i="13"/>
  <c r="G883" i="13"/>
  <c r="G884" i="13"/>
  <c r="G885" i="13"/>
  <c r="G886" i="13"/>
  <c r="G887" i="13"/>
  <c r="G888" i="13"/>
  <c r="G889" i="13"/>
  <c r="G890" i="13"/>
  <c r="G891" i="13"/>
  <c r="G892" i="13"/>
  <c r="G893" i="13"/>
  <c r="G894" i="13"/>
  <c r="G895" i="13"/>
  <c r="G896" i="13"/>
  <c r="G897" i="13"/>
  <c r="G898" i="13"/>
  <c r="G899" i="13"/>
  <c r="G900" i="13"/>
  <c r="G901" i="13"/>
  <c r="G902" i="13"/>
  <c r="G903" i="13"/>
  <c r="G904" i="13"/>
  <c r="G905" i="13"/>
  <c r="G906" i="13"/>
  <c r="G907" i="13"/>
  <c r="G908" i="13"/>
  <c r="G909" i="13"/>
  <c r="G910" i="13"/>
  <c r="G911" i="13"/>
  <c r="G912" i="13"/>
  <c r="G913" i="13"/>
  <c r="G914" i="13"/>
  <c r="G915" i="13"/>
  <c r="G916" i="13"/>
  <c r="G917" i="13"/>
  <c r="G918" i="13"/>
  <c r="G919" i="13"/>
  <c r="G920" i="13"/>
  <c r="G921" i="13"/>
  <c r="G922" i="13"/>
  <c r="G923" i="13"/>
  <c r="G924" i="13"/>
  <c r="G925" i="13"/>
  <c r="G926" i="13"/>
  <c r="G927" i="13"/>
  <c r="G928" i="13"/>
  <c r="G929" i="13"/>
  <c r="G930" i="13"/>
  <c r="G931" i="13"/>
  <c r="G932" i="13"/>
  <c r="G933" i="13"/>
  <c r="G934" i="13"/>
  <c r="G935" i="13"/>
  <c r="G936" i="13"/>
  <c r="G937" i="13"/>
  <c r="G938" i="13"/>
  <c r="G939" i="13"/>
  <c r="G940" i="13"/>
  <c r="G941" i="13"/>
  <c r="G942" i="13"/>
  <c r="G943" i="13"/>
  <c r="G944" i="13"/>
  <c r="G945" i="13"/>
  <c r="G946" i="13"/>
  <c r="G947" i="13"/>
  <c r="G948" i="13"/>
  <c r="G949" i="13"/>
  <c r="G950" i="13"/>
  <c r="G951" i="13"/>
  <c r="G952" i="13"/>
  <c r="G953" i="13"/>
  <c r="G954" i="13"/>
  <c r="G955" i="13"/>
  <c r="G956" i="13"/>
  <c r="G957" i="13"/>
  <c r="G958" i="13"/>
  <c r="G959" i="13"/>
  <c r="G960" i="13"/>
  <c r="G961" i="13"/>
  <c r="G962" i="13"/>
  <c r="G963" i="13"/>
  <c r="G964" i="13"/>
  <c r="G965" i="13"/>
  <c r="G966" i="13"/>
  <c r="G967" i="13"/>
  <c r="G968" i="13"/>
  <c r="G969" i="13"/>
  <c r="G970" i="13"/>
  <c r="G971" i="13"/>
  <c r="G972" i="13"/>
  <c r="G973" i="13"/>
  <c r="G974" i="13"/>
  <c r="G975" i="13"/>
  <c r="G976" i="13"/>
  <c r="G977" i="13"/>
  <c r="G978" i="13"/>
  <c r="G979" i="13"/>
  <c r="G980" i="13"/>
  <c r="G981" i="13"/>
  <c r="G982" i="13"/>
  <c r="G983" i="13"/>
  <c r="G984" i="13"/>
  <c r="G985" i="13"/>
  <c r="G986" i="13"/>
  <c r="G987" i="13"/>
  <c r="G988" i="13"/>
  <c r="G989" i="13"/>
  <c r="G990" i="13"/>
  <c r="G991" i="13"/>
  <c r="G992" i="13"/>
  <c r="G993" i="13"/>
  <c r="G994" i="13"/>
  <c r="G995" i="13"/>
  <c r="G996" i="13"/>
  <c r="G997" i="13"/>
  <c r="G998" i="13"/>
  <c r="G999" i="13"/>
  <c r="G1000" i="13"/>
  <c r="G1001" i="1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8167834-E12D-4C0E-8D6A-8F711F954833}"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<sst xmlns="http://schemas.openxmlformats.org/spreadsheetml/2006/main" count="6561" uniqueCount="977">
  <si>
    <t>Order ID</t>
  </si>
  <si>
    <t>Customer ID</t>
  </si>
  <si>
    <t>SKU</t>
  </si>
  <si>
    <t>Order Date</t>
  </si>
  <si>
    <t>Supplier Country</t>
  </si>
  <si>
    <t>Order Quantity</t>
  </si>
  <si>
    <t>A100</t>
  </si>
  <si>
    <t>B200</t>
  </si>
  <si>
    <t>C300</t>
  </si>
  <si>
    <t>D400</t>
  </si>
  <si>
    <t>E500</t>
  </si>
  <si>
    <t>F600</t>
  </si>
  <si>
    <t>China</t>
  </si>
  <si>
    <t>Vietnam</t>
  </si>
  <si>
    <t>India</t>
  </si>
  <si>
    <t>Bangladesh</t>
  </si>
  <si>
    <t>Product Name</t>
  </si>
  <si>
    <t>Supplier</t>
  </si>
  <si>
    <t>Warehouse</t>
  </si>
  <si>
    <t>Available Stock</t>
  </si>
  <si>
    <t>Smartphone</t>
  </si>
  <si>
    <t>Headphones</t>
  </si>
  <si>
    <t>Smartwatch</t>
  </si>
  <si>
    <t>Laptop</t>
  </si>
  <si>
    <t>Tablet</t>
  </si>
  <si>
    <t>Power Bank</t>
  </si>
  <si>
    <t>TechCorp</t>
  </si>
  <si>
    <t>SoundCo</t>
  </si>
  <si>
    <t>Wearable Inc.</t>
  </si>
  <si>
    <t>CompuTech</t>
  </si>
  <si>
    <t>TabletMakers</t>
  </si>
  <si>
    <t>ChargePro</t>
  </si>
  <si>
    <t>WH1</t>
  </si>
  <si>
    <t>WH2</t>
  </si>
  <si>
    <t>WH3</t>
  </si>
  <si>
    <t>Supplier ID</t>
  </si>
  <si>
    <t>Supplier Name</t>
  </si>
  <si>
    <t>Country</t>
  </si>
  <si>
    <t>Product Category</t>
  </si>
  <si>
    <t>Defect Rate (%)</t>
  </si>
  <si>
    <t>Electronics</t>
  </si>
  <si>
    <t>Audio</t>
  </si>
  <si>
    <t>Wearables</t>
  </si>
  <si>
    <t>Computers</t>
  </si>
  <si>
    <t>Tablets</t>
  </si>
  <si>
    <t>Power</t>
  </si>
  <si>
    <t>Location</t>
  </si>
  <si>
    <t>Order Frequency</t>
  </si>
  <si>
    <t>Alice</t>
  </si>
  <si>
    <t>Bob</t>
  </si>
  <si>
    <t>Charlie</t>
  </si>
  <si>
    <t>David</t>
  </si>
  <si>
    <t>Eve</t>
  </si>
  <si>
    <t>Frank</t>
  </si>
  <si>
    <t>Grace</t>
  </si>
  <si>
    <t>Hank</t>
  </si>
  <si>
    <t>Ivy</t>
  </si>
  <si>
    <t>Jack</t>
  </si>
  <si>
    <t>New York</t>
  </si>
  <si>
    <t>Toronto</t>
  </si>
  <si>
    <t>Los Angeles</t>
  </si>
  <si>
    <t>Chicago</t>
  </si>
  <si>
    <t>San Francisco</t>
  </si>
  <si>
    <t>Dallas</t>
  </si>
  <si>
    <t>Miami</t>
  </si>
  <si>
    <t>Seattle</t>
  </si>
  <si>
    <t>Boston</t>
  </si>
  <si>
    <t>Denver</t>
  </si>
  <si>
    <t>Find the Supplier of Each Product in Orders</t>
  </si>
  <si>
    <t>Match Return Data with Orders</t>
  </si>
  <si>
    <t>Create a Pie Chart:</t>
  </si>
  <si>
    <r>
      <t xml:space="preserve">Show the percentage of </t>
    </r>
    <r>
      <rPr>
        <b/>
        <sz val="11"/>
        <color theme="1"/>
        <rFont val="Calibri"/>
        <family val="2"/>
        <scheme val="minor"/>
      </rPr>
      <t>return reasons</t>
    </r>
    <r>
      <rPr>
        <sz val="11"/>
        <color theme="1"/>
        <rFont val="Calibri"/>
        <family val="2"/>
        <scheme val="minor"/>
      </rPr>
      <t xml:space="preserve"> (Defective, Wrong Shipment, Poor Packaging).</t>
    </r>
  </si>
  <si>
    <t>H800</t>
  </si>
  <si>
    <t>G700</t>
  </si>
  <si>
    <t>2024-12-10</t>
  </si>
  <si>
    <t>2024-03-21</t>
  </si>
  <si>
    <t>2024-11-27</t>
  </si>
  <si>
    <t>2024-07-16</t>
  </si>
  <si>
    <t>2024-08-24</t>
  </si>
  <si>
    <t>2024-03-24</t>
  </si>
  <si>
    <t>2024-10-16</t>
  </si>
  <si>
    <t>2024-07-29</t>
  </si>
  <si>
    <t>2024-06-14</t>
  </si>
  <si>
    <t>2024-05-11</t>
  </si>
  <si>
    <t>2024-09-25</t>
  </si>
  <si>
    <t>2024-10-08</t>
  </si>
  <si>
    <t>2024-10-27</t>
  </si>
  <si>
    <t>2024-08-20</t>
  </si>
  <si>
    <t>2024-05-17</t>
  </si>
  <si>
    <t>2024-04-11</t>
  </si>
  <si>
    <t>2024-05-19</t>
  </si>
  <si>
    <t>2024-04-03</t>
  </si>
  <si>
    <t>2024-08-04</t>
  </si>
  <si>
    <t>2024-07-15</t>
  </si>
  <si>
    <t>2024-04-22</t>
  </si>
  <si>
    <t>2024-01-13</t>
  </si>
  <si>
    <t>2024-06-01</t>
  </si>
  <si>
    <t>2024-03-17</t>
  </si>
  <si>
    <t>2024-08-07</t>
  </si>
  <si>
    <t>2024-09-28</t>
  </si>
  <si>
    <t>2024-04-01</t>
  </si>
  <si>
    <t>2024-07-10</t>
  </si>
  <si>
    <t>2024-09-08</t>
  </si>
  <si>
    <t>2024-11-01</t>
  </si>
  <si>
    <t>Category</t>
  </si>
  <si>
    <t>Accessories</t>
  </si>
  <si>
    <t>Wireless Mouse</t>
  </si>
  <si>
    <t>ClickTech</t>
  </si>
  <si>
    <t>Bluetooth Speaker</t>
  </si>
  <si>
    <t>SoundWave</t>
  </si>
  <si>
    <t>I900</t>
  </si>
  <si>
    <t>Gaming Console</t>
  </si>
  <si>
    <t>Gaming</t>
  </si>
  <si>
    <t>PlayMax</t>
  </si>
  <si>
    <t>J1000</t>
  </si>
  <si>
    <t>Smart TV</t>
  </si>
  <si>
    <t>VisionTech</t>
  </si>
  <si>
    <t>K1100</t>
  </si>
  <si>
    <t>External HDD</t>
  </si>
  <si>
    <t>Storage</t>
  </si>
  <si>
    <t>DataSafe</t>
  </si>
  <si>
    <t>L1200</t>
  </si>
  <si>
    <t>Keyboard</t>
  </si>
  <si>
    <t>M1300</t>
  </si>
  <si>
    <t>VR Headset</t>
  </si>
  <si>
    <t>VRWorld</t>
  </si>
  <si>
    <t>N1400</t>
  </si>
  <si>
    <t>Fitness Tracker</t>
  </si>
  <si>
    <t>FitTech</t>
  </si>
  <si>
    <t>O1500</t>
  </si>
  <si>
    <t>Streaming Stick</t>
  </si>
  <si>
    <t>Entertainment</t>
  </si>
  <si>
    <t>StreamIt</t>
  </si>
  <si>
    <t>P1600</t>
  </si>
  <si>
    <t>Security Camera</t>
  </si>
  <si>
    <t>Smart Home</t>
  </si>
  <si>
    <t>SafeTech</t>
  </si>
  <si>
    <t>Q1700</t>
  </si>
  <si>
    <t>Robot Vacuum</t>
  </si>
  <si>
    <t>CleanBot</t>
  </si>
  <si>
    <t>R1800</t>
  </si>
  <si>
    <t>Noise Cancelling Headphones</t>
  </si>
  <si>
    <t>S1900</t>
  </si>
  <si>
    <t>Graphics Card</t>
  </si>
  <si>
    <t>GPUForce</t>
  </si>
  <si>
    <t>T2000</t>
  </si>
  <si>
    <t>Smart Light Bulb</t>
  </si>
  <si>
    <t>BrightHome</t>
  </si>
  <si>
    <t>U2100</t>
  </si>
  <si>
    <t>Wireless Charger</t>
  </si>
  <si>
    <t>V2200</t>
  </si>
  <si>
    <t>DSLR Camera</t>
  </si>
  <si>
    <t>Photography</t>
  </si>
  <si>
    <t>ShutterPro</t>
  </si>
  <si>
    <t>W2300</t>
  </si>
  <si>
    <t>Action Camera</t>
  </si>
  <si>
    <t>X2400</t>
  </si>
  <si>
    <t>Gaming Keyboard</t>
  </si>
  <si>
    <t>Y2500</t>
  </si>
  <si>
    <t>Gaming Mouse</t>
  </si>
  <si>
    <t>Z2600</t>
  </si>
  <si>
    <t>Soundbar</t>
  </si>
  <si>
    <t>A2700</t>
  </si>
  <si>
    <t>Drone</t>
  </si>
  <si>
    <t>Gadgets</t>
  </si>
  <si>
    <t>AeroTech</t>
  </si>
  <si>
    <t>B2800</t>
  </si>
  <si>
    <t>E-Reader</t>
  </si>
  <si>
    <t>BookTech</t>
  </si>
  <si>
    <t>C2900</t>
  </si>
  <si>
    <t>Car Dash Cam</t>
  </si>
  <si>
    <t>Automotive</t>
  </si>
  <si>
    <t>SafeDrive</t>
  </si>
  <si>
    <t>D3000</t>
  </si>
  <si>
    <t>Smart Doorbell</t>
  </si>
  <si>
    <t>E3100</t>
  </si>
  <si>
    <t>Portable Monitor</t>
  </si>
  <si>
    <t>DisplayPro</t>
  </si>
  <si>
    <t>F3200</t>
  </si>
  <si>
    <t>USB-C Docking Station</t>
  </si>
  <si>
    <t>DockIt</t>
  </si>
  <si>
    <t>G3300</t>
  </si>
  <si>
    <t>Digital Picture Frame</t>
  </si>
  <si>
    <t>PhotoFrame Inc.</t>
  </si>
  <si>
    <t>H3400</t>
  </si>
  <si>
    <t>Mini Projector</t>
  </si>
  <si>
    <t>Taiwan</t>
  </si>
  <si>
    <t>Japan</t>
  </si>
  <si>
    <t>South Korea</t>
  </si>
  <si>
    <t>USA</t>
  </si>
  <si>
    <t>Germany</t>
  </si>
  <si>
    <t>Canada</t>
  </si>
  <si>
    <t>First Name</t>
  </si>
  <si>
    <t>Last Name</t>
  </si>
  <si>
    <t>Full Name</t>
  </si>
  <si>
    <t>Email</t>
  </si>
  <si>
    <t>Phone Number</t>
  </si>
  <si>
    <t>Customer Segment</t>
  </si>
  <si>
    <t>Brown</t>
  </si>
  <si>
    <t>Charlie Brown</t>
  </si>
  <si>
    <t>charlie.brown@company.com</t>
  </si>
  <si>
    <t>Premium</t>
  </si>
  <si>
    <t>Hall</t>
  </si>
  <si>
    <t>Jack Hall</t>
  </si>
  <si>
    <t>jack.hall@hotmail.com</t>
  </si>
  <si>
    <t>VIP</t>
  </si>
  <si>
    <t>Harris</t>
  </si>
  <si>
    <t>Hank Harris</t>
  </si>
  <si>
    <t>Orlando</t>
  </si>
  <si>
    <t>hank.harris@yahoo.com</t>
  </si>
  <si>
    <t>Regular</t>
  </si>
  <si>
    <t>Lewis</t>
  </si>
  <si>
    <t>Hank Lewis</t>
  </si>
  <si>
    <t>San Diego</t>
  </si>
  <si>
    <t>hank.lewis@yahoo.com</t>
  </si>
  <si>
    <t>Eve Harris</t>
  </si>
  <si>
    <t>Atlanta</t>
  </si>
  <si>
    <t>eve.harris@yahoo.com</t>
  </si>
  <si>
    <t>Mia</t>
  </si>
  <si>
    <t>Johnson</t>
  </si>
  <si>
    <t>Mia Johnson</t>
  </si>
  <si>
    <t>mia.johnson@yahoo.com</t>
  </si>
  <si>
    <t>Robinson</t>
  </si>
  <si>
    <t>Eve Robinson</t>
  </si>
  <si>
    <t>eve.robinson@yahoo.com</t>
  </si>
  <si>
    <t>Quinn</t>
  </si>
  <si>
    <t>Quinn Robinson</t>
  </si>
  <si>
    <t>quinn.robinson@outlook.com</t>
  </si>
  <si>
    <t>Noah</t>
  </si>
  <si>
    <t>Noah Hall</t>
  </si>
  <si>
    <t>Philadelphia</t>
  </si>
  <si>
    <t>noah.hall@outlook.com</t>
  </si>
  <si>
    <t>Lee</t>
  </si>
  <si>
    <t>Quinn Lee</t>
  </si>
  <si>
    <t>quinn.lee@yahoo.com</t>
  </si>
  <si>
    <t>Zane</t>
  </si>
  <si>
    <t>Walker</t>
  </si>
  <si>
    <t>Zane Walker</t>
  </si>
  <si>
    <t>Vancouver</t>
  </si>
  <si>
    <t>zane.walker@hotmail.com</t>
  </si>
  <si>
    <t>Karen</t>
  </si>
  <si>
    <t>Garcia</t>
  </si>
  <si>
    <t>Karen Garcia</t>
  </si>
  <si>
    <t>karen.garcia@yahoo.com</t>
  </si>
  <si>
    <t>Martin</t>
  </si>
  <si>
    <t>Charlie Martin</t>
  </si>
  <si>
    <t>charlie.martin@outlook.com</t>
  </si>
  <si>
    <t>White</t>
  </si>
  <si>
    <t>Bob White</t>
  </si>
  <si>
    <t>bob.white@hotmail.com</t>
  </si>
  <si>
    <t>Jack Lee</t>
  </si>
  <si>
    <t>jack.lee@gmail.com</t>
  </si>
  <si>
    <t>Tina</t>
  </si>
  <si>
    <t>Tina Garcia</t>
  </si>
  <si>
    <t>tina.garcia@hotmail.com</t>
  </si>
  <si>
    <t>Thomas</t>
  </si>
  <si>
    <t>Eve Thomas</t>
  </si>
  <si>
    <t>eve.thomas@hotmail.com</t>
  </si>
  <si>
    <t>Rachel</t>
  </si>
  <si>
    <t>Taylor</t>
  </si>
  <si>
    <t>Rachel Taylor</t>
  </si>
  <si>
    <t>rachel.taylor@hotmail.com</t>
  </si>
  <si>
    <t>Rachel Brown</t>
  </si>
  <si>
    <t>rachel.brown@company.com</t>
  </si>
  <si>
    <t>Yasmine</t>
  </si>
  <si>
    <t>Yasmine Lewis</t>
  </si>
  <si>
    <t>yasmine.lewis@outlook.com</t>
  </si>
  <si>
    <t>Smith</t>
  </si>
  <si>
    <t>Jack Smith</t>
  </si>
  <si>
    <t>jack.smith@yahoo.com</t>
  </si>
  <si>
    <t>Martinez</t>
  </si>
  <si>
    <t>Mia Martinez</t>
  </si>
  <si>
    <t>Phoenix</t>
  </si>
  <si>
    <t>mia.martinez@outlook.com</t>
  </si>
  <si>
    <t>Paul</t>
  </si>
  <si>
    <t>Paul Lewis</t>
  </si>
  <si>
    <t>paul.lewis@company.com</t>
  </si>
  <si>
    <t>Xander</t>
  </si>
  <si>
    <t>Xander Walker</t>
  </si>
  <si>
    <t>xander.walker@company.com</t>
  </si>
  <si>
    <t>Victor</t>
  </si>
  <si>
    <t>Victor Hall</t>
  </si>
  <si>
    <t>victor.hall@hotmail.com</t>
  </si>
  <si>
    <t>Ivy Robinson</t>
  </si>
  <si>
    <t>ivy.robinson@gmail.com</t>
  </si>
  <si>
    <t>Leo</t>
  </si>
  <si>
    <t>Leo Lee</t>
  </si>
  <si>
    <t>leo.lee@hotmail.com</t>
  </si>
  <si>
    <t>Bob Garcia</t>
  </si>
  <si>
    <t>Houston</t>
  </si>
  <si>
    <t>bob.garcia@hotmail.com</t>
  </si>
  <si>
    <t>Mia Walker</t>
  </si>
  <si>
    <t>mia.walker@company.com</t>
  </si>
  <si>
    <t>Alice Thomas</t>
  </si>
  <si>
    <t>alice.thomas@yahoo.com</t>
  </si>
  <si>
    <t>Olivia</t>
  </si>
  <si>
    <t>Anderson</t>
  </si>
  <si>
    <t>Olivia Anderson</t>
  </si>
  <si>
    <t>olivia.anderson@outlook.com</t>
  </si>
  <si>
    <t>Xander Hall</t>
  </si>
  <si>
    <t>xander.hall@outlook.com</t>
  </si>
  <si>
    <t>Leo Taylor</t>
  </si>
  <si>
    <t>leo.taylor@yahoo.com</t>
  </si>
  <si>
    <t>Xander Anderson</t>
  </si>
  <si>
    <t>xander.anderson@gmail.com</t>
  </si>
  <si>
    <t>Mia Anderson</t>
  </si>
  <si>
    <t>mia.anderson@company.com</t>
  </si>
  <si>
    <t>Rachel Lewis</t>
  </si>
  <si>
    <t>Montreal</t>
  </si>
  <si>
    <t>rachel.lewis@gmail.com</t>
  </si>
  <si>
    <t>David Johnson</t>
  </si>
  <si>
    <t>david.johnson@yahoo.com</t>
  </si>
  <si>
    <t>Paul Martin</t>
  </si>
  <si>
    <t>paul.martin@yahoo.com</t>
  </si>
  <si>
    <t>Grace Thomas</t>
  </si>
  <si>
    <t>grace.thomas@outlook.com</t>
  </si>
  <si>
    <t>Victor Martinez</t>
  </si>
  <si>
    <t>victor.martinez@company.com</t>
  </si>
  <si>
    <t>Olivia Martinez</t>
  </si>
  <si>
    <t>olivia.martinez@gmail.com</t>
  </si>
  <si>
    <t>Noah Martinez</t>
  </si>
  <si>
    <t>noah.martinez@yahoo.com</t>
  </si>
  <si>
    <t>Leo Thomas</t>
  </si>
  <si>
    <t>leo.thomas@outlook.com</t>
  </si>
  <si>
    <t>Thompson</t>
  </si>
  <si>
    <t>David Thompson</t>
  </si>
  <si>
    <t>david.thompson@hotmail.com</t>
  </si>
  <si>
    <t>Tina Walker</t>
  </si>
  <si>
    <t>tina.walker@yahoo.com</t>
  </si>
  <si>
    <t>Clark</t>
  </si>
  <si>
    <t>Jack Clark</t>
  </si>
  <si>
    <t>jack.clark@gmail.com</t>
  </si>
  <si>
    <t>Hank Anderson</t>
  </si>
  <si>
    <t>Austin</t>
  </si>
  <si>
    <t>hank.anderson@gmail.com</t>
  </si>
  <si>
    <t>Rachel Harris</t>
  </si>
  <si>
    <t>rachel.harris@hotmail.com</t>
  </si>
  <si>
    <t>Hank Smith</t>
  </si>
  <si>
    <t>hank.smith@company.com</t>
  </si>
  <si>
    <t>Jackson</t>
  </si>
  <si>
    <t>Leo Jackson</t>
  </si>
  <si>
    <t>leo.jackson@hotmail.com</t>
  </si>
  <si>
    <t>Olivia Clark</t>
  </si>
  <si>
    <t>olivia.clark@yahoo.com</t>
  </si>
  <si>
    <t>mia.anderson@outlook.com</t>
  </si>
  <si>
    <t>Hank Johnson</t>
  </si>
  <si>
    <t>hank.johnson@outlook.com</t>
  </si>
  <si>
    <t>Zane Taylor</t>
  </si>
  <si>
    <t>zane.taylor@yahoo.com</t>
  </si>
  <si>
    <t>Xander Garcia</t>
  </si>
  <si>
    <t>xander.garcia@hotmail.com</t>
  </si>
  <si>
    <t>tina.garcia@company.com</t>
  </si>
  <si>
    <t>Rodriguez</t>
  </si>
  <si>
    <t>Grace Rodriguez</t>
  </si>
  <si>
    <t>grace.rodriguez@hotmail.com</t>
  </si>
  <si>
    <t>Tina Thomas</t>
  </si>
  <si>
    <t>tina.thomas@hotmail.com</t>
  </si>
  <si>
    <t>Steve</t>
  </si>
  <si>
    <t>Steve Lee</t>
  </si>
  <si>
    <t>steve.lee@company.com</t>
  </si>
  <si>
    <t>Karen Thompson</t>
  </si>
  <si>
    <t>karen.thompson@hotmail.com</t>
  </si>
  <si>
    <t>mia.johnson@hotmail.com</t>
  </si>
  <si>
    <t>grace.rodriguez@outlook.com</t>
  </si>
  <si>
    <t>Hank Thompson</t>
  </si>
  <si>
    <t>hank.thompson@yahoo.com</t>
  </si>
  <si>
    <t>Bob Lee</t>
  </si>
  <si>
    <t>bob.lee@yahoo.com</t>
  </si>
  <si>
    <t>Frank Brown</t>
  </si>
  <si>
    <t>frank.brown@gmail.com</t>
  </si>
  <si>
    <t>Victor Rodriguez</t>
  </si>
  <si>
    <t>Las Vegas</t>
  </si>
  <si>
    <t>victor.rodriguez@outlook.com</t>
  </si>
  <si>
    <t>Karen Jackson</t>
  </si>
  <si>
    <t>karen.jackson@yahoo.com</t>
  </si>
  <si>
    <t>Noah Thomas</t>
  </si>
  <si>
    <t>noah.thomas@yahoo.com</t>
  </si>
  <si>
    <t>ivy.robinson@yahoo.com</t>
  </si>
  <si>
    <t>Grace White</t>
  </si>
  <si>
    <t>grace.white@yahoo.com</t>
  </si>
  <si>
    <t>Eve Smith</t>
  </si>
  <si>
    <t>eve.smith@outlook.com</t>
  </si>
  <si>
    <t>Eve Martin</t>
  </si>
  <si>
    <t>eve.martin@outlook.com</t>
  </si>
  <si>
    <t>victor.hall@outlook.com</t>
  </si>
  <si>
    <t>Rachel Martin</t>
  </si>
  <si>
    <t>rachel.martin@hotmail.com</t>
  </si>
  <si>
    <t>Steve Hall</t>
  </si>
  <si>
    <t>steve.hall@gmail.com</t>
  </si>
  <si>
    <t>David Taylor</t>
  </si>
  <si>
    <t>david.taylor@hotmail.com</t>
  </si>
  <si>
    <t>mia.martinez@yahoo.com</t>
  </si>
  <si>
    <t>Yasmine Lee</t>
  </si>
  <si>
    <t>yasmine.lee@hotmail.com</t>
  </si>
  <si>
    <t>Victor Walker</t>
  </si>
  <si>
    <t>victor.walker@yahoo.com</t>
  </si>
  <si>
    <t>Zane Rodriguez</t>
  </si>
  <si>
    <t>zane.rodriguez@company.com</t>
  </si>
  <si>
    <t>Uma</t>
  </si>
  <si>
    <t>Uma Hall</t>
  </si>
  <si>
    <t>uma.hall@hotmail.com</t>
  </si>
  <si>
    <t>David Garcia</t>
  </si>
  <si>
    <t>david.garcia@company.com</t>
  </si>
  <si>
    <t>Quinn Taylor</t>
  </si>
  <si>
    <t>quinn.taylor@yahoo.com</t>
  </si>
  <si>
    <t>Victor Thompson</t>
  </si>
  <si>
    <t>victor.thompson@gmail.com</t>
  </si>
  <si>
    <t>steve.hall@company.com</t>
  </si>
  <si>
    <t>Quinn Walker</t>
  </si>
  <si>
    <t>quinn.walker@gmail.com</t>
  </si>
  <si>
    <t>Uma Martinez</t>
  </si>
  <si>
    <t>uma.martinez@gmail.com</t>
  </si>
  <si>
    <t>eve.smith@gmail.com</t>
  </si>
  <si>
    <t>yasmine.lee@outlook.com</t>
  </si>
  <si>
    <t>Yasmine Walker</t>
  </si>
  <si>
    <t>yasmine.walker@hotmail.com</t>
  </si>
  <si>
    <t>Noah Thompson</t>
  </si>
  <si>
    <t>noah.thompson@company.com</t>
  </si>
  <si>
    <t>Xander Smith</t>
  </si>
  <si>
    <t>xander.smith@outlook.com</t>
  </si>
  <si>
    <t>Charlie Garcia</t>
  </si>
  <si>
    <t>charlie.garcia@company.com</t>
  </si>
  <si>
    <t>Uma Garcia</t>
  </si>
  <si>
    <t>uma.garcia@hotmail.com</t>
  </si>
  <si>
    <t>Yasmine Rodriguez</t>
  </si>
  <si>
    <t>yasmine.rodriguez@outlook.com</t>
  </si>
  <si>
    <t>Rachel Clark</t>
  </si>
  <si>
    <t>rachel.clark@hotmail.com</t>
  </si>
  <si>
    <t>charlie.martin@company.com</t>
  </si>
  <si>
    <t>Ivy Walker</t>
  </si>
  <si>
    <t>ivy.walker@outlook.com</t>
  </si>
  <si>
    <t>Tina Harris</t>
  </si>
  <si>
    <t>tina.harris@gmail.com</t>
  </si>
  <si>
    <t>Uma Johnson</t>
  </si>
  <si>
    <t>uma.johnson@outlook.com</t>
  </si>
  <si>
    <t>rachel.brown@hotmail.com</t>
  </si>
  <si>
    <t>Paul Johnson</t>
  </si>
  <si>
    <t>paul.johnson@hotmail.com</t>
  </si>
  <si>
    <t>Olivia White</t>
  </si>
  <si>
    <t>olivia.white@company.com</t>
  </si>
  <si>
    <t>Xander Thompson</t>
  </si>
  <si>
    <t>xander.thompson@outlook.com</t>
  </si>
  <si>
    <t>Paul Thompson</t>
  </si>
  <si>
    <t>paul.thompson@company.com</t>
  </si>
  <si>
    <t>Olivia Lee</t>
  </si>
  <si>
    <t>olivia.lee@outlook.com</t>
  </si>
  <si>
    <t>Uma Martin</t>
  </si>
  <si>
    <t>uma.martin@outlook.com</t>
  </si>
  <si>
    <t>victor.hall@yahoo.com</t>
  </si>
  <si>
    <t>Tina Lee</t>
  </si>
  <si>
    <t>tina.lee@outlook.com</t>
  </si>
  <si>
    <t>Tina Martinez</t>
  </si>
  <si>
    <t>tina.martinez@gmail.com</t>
  </si>
  <si>
    <t>Yasmine Harris</t>
  </si>
  <si>
    <t>yasmine.harris@hotmail.com</t>
  </si>
  <si>
    <t>Charlie Taylor</t>
  </si>
  <si>
    <t>charlie.taylor@company.com</t>
  </si>
  <si>
    <t>Tina Brown</t>
  </si>
  <si>
    <t>tina.brown@yahoo.com</t>
  </si>
  <si>
    <t>Alice Walker</t>
  </si>
  <si>
    <t>alice.walker@yahoo.com</t>
  </si>
  <si>
    <t>Karen Thomas</t>
  </si>
  <si>
    <t>karen.thomas@yahoo.com</t>
  </si>
  <si>
    <t>Frank Anderson</t>
  </si>
  <si>
    <t>frank.anderson@hotmail.com</t>
  </si>
  <si>
    <t>Yasmine Robinson</t>
  </si>
  <si>
    <t>yasmine.robinson@hotmail.com</t>
  </si>
  <si>
    <t>Quinn Smith</t>
  </si>
  <si>
    <t>quinn.smith@hotmail.com</t>
  </si>
  <si>
    <t>Hank Robinson</t>
  </si>
  <si>
    <t>hank.robinson@gmail.com</t>
  </si>
  <si>
    <t>Wendy</t>
  </si>
  <si>
    <t>Wendy Smith</t>
  </si>
  <si>
    <t>wendy.smith@hotmail.com</t>
  </si>
  <si>
    <t>Yasmine Thompson</t>
  </si>
  <si>
    <t>yasmine.thompson@gmail.com</t>
  </si>
  <si>
    <t>Bob Thompson</t>
  </si>
  <si>
    <t>bob.thompson@hotmail.com</t>
  </si>
  <si>
    <t>Paul Garcia</t>
  </si>
  <si>
    <t>paul.garcia@gmail.com</t>
  </si>
  <si>
    <t>Grace Smith</t>
  </si>
  <si>
    <t>grace.smith@company.com</t>
  </si>
  <si>
    <t>Bob Walker</t>
  </si>
  <si>
    <t>bob.walker@company.com</t>
  </si>
  <si>
    <t>Grace Thompson</t>
  </si>
  <si>
    <t>grace.thompson@company.com</t>
  </si>
  <si>
    <t>uma.hall@gmail.com</t>
  </si>
  <si>
    <t>Quinn Thomas</t>
  </si>
  <si>
    <t>quinn.thomas@yahoo.com</t>
  </si>
  <si>
    <t>Leo Smith</t>
  </si>
  <si>
    <t>leo.smith@gmail.com</t>
  </si>
  <si>
    <t>xander.thompson@company.com</t>
  </si>
  <si>
    <t>Alice Garcia</t>
  </si>
  <si>
    <t>alice.garcia@yahoo.com</t>
  </si>
  <si>
    <t>Leo Hall</t>
  </si>
  <si>
    <t>leo.hall@outlook.com</t>
  </si>
  <si>
    <t>Rachel Anderson</t>
  </si>
  <si>
    <t>rachel.anderson@yahoo.com</t>
  </si>
  <si>
    <t>victor.martinez@gmail.com</t>
  </si>
  <si>
    <t>Paul Thomas</t>
  </si>
  <si>
    <t>paul.thomas@hotmail.com</t>
  </si>
  <si>
    <t>Xander Clark</t>
  </si>
  <si>
    <t>xander.clark@outlook.com</t>
  </si>
  <si>
    <t>Grace Anderson</t>
  </si>
  <si>
    <t>grace.anderson@yahoo.com</t>
  </si>
  <si>
    <t>Charlie Martinez</t>
  </si>
  <si>
    <t>charlie.martinez@yahoo.com</t>
  </si>
  <si>
    <t>bob.white@gmail.com</t>
  </si>
  <si>
    <t>David Anderson</t>
  </si>
  <si>
    <t>david.anderson@yahoo.com</t>
  </si>
  <si>
    <t>Rachel Martinez</t>
  </si>
  <si>
    <t>rachel.martinez@gmail.com</t>
  </si>
  <si>
    <t>Jack Martin</t>
  </si>
  <si>
    <t>jack.martin@company.com</t>
  </si>
  <si>
    <t>charlie.brown@gmail.com</t>
  </si>
  <si>
    <t>steve.hall@outlook.com</t>
  </si>
  <si>
    <t>Uma Lee</t>
  </si>
  <si>
    <t>uma.lee@hotmail.com</t>
  </si>
  <si>
    <t>yasmine.lee@company.com</t>
  </si>
  <si>
    <t>Jack Rodriguez</t>
  </si>
  <si>
    <t>jack.rodriguez@outlook.com</t>
  </si>
  <si>
    <t>Noah Harris</t>
  </si>
  <si>
    <t>noah.harris@yahoo.com</t>
  </si>
  <si>
    <t>Zane Thompson</t>
  </si>
  <si>
    <t>zane.thompson@gmail.com</t>
  </si>
  <si>
    <t>xander.smith@yahoo.com</t>
  </si>
  <si>
    <t>Steve Lewis</t>
  </si>
  <si>
    <t>steve.lewis@company.com</t>
  </si>
  <si>
    <t>Quinn Clark</t>
  </si>
  <si>
    <t>quinn.clark@outlook.com</t>
  </si>
  <si>
    <t>Steve Johnson</t>
  </si>
  <si>
    <t>steve.johnson@hotmail.com</t>
  </si>
  <si>
    <t>Tina Thompson</t>
  </si>
  <si>
    <t>tina.thompson@yahoo.com</t>
  </si>
  <si>
    <t>Wendy Garcia</t>
  </si>
  <si>
    <t>wendy.garcia@gmail.com</t>
  </si>
  <si>
    <t>David Martin</t>
  </si>
  <si>
    <t>david.martin@hotmail.com</t>
  </si>
  <si>
    <t>Noah Martin</t>
  </si>
  <si>
    <t>noah.martin@outlook.com</t>
  </si>
  <si>
    <t>Rachel Thomas</t>
  </si>
  <si>
    <t>rachel.thomas@hotmail.com</t>
  </si>
  <si>
    <t>Frank Rodriguez</t>
  </si>
  <si>
    <t>frank.rodriguez@company.com</t>
  </si>
  <si>
    <t>Zane Garcia</t>
  </si>
  <si>
    <t>zane.garcia@outlook.com</t>
  </si>
  <si>
    <t>victor.thompson@company.com</t>
  </si>
  <si>
    <t>Frank Smith</t>
  </si>
  <si>
    <t>frank.smith@company.com</t>
  </si>
  <si>
    <t>Karen Smith</t>
  </si>
  <si>
    <t>karen.smith@hotmail.com</t>
  </si>
  <si>
    <t>Eve Jackson</t>
  </si>
  <si>
    <t>eve.jackson@yahoo.com</t>
  </si>
  <si>
    <t>Zane Robinson</t>
  </si>
  <si>
    <t>zane.robinson@outlook.com</t>
  </si>
  <si>
    <t>Grace Lewis</t>
  </si>
  <si>
    <t>grace.lewis@hotmail.com</t>
  </si>
  <si>
    <t>David Smith</t>
  </si>
  <si>
    <t>david.smith@outlook.com</t>
  </si>
  <si>
    <t>Rachel Garcia</t>
  </si>
  <si>
    <t>rachel.garcia@company.com</t>
  </si>
  <si>
    <t>Tina Clark</t>
  </si>
  <si>
    <t>tina.clark@company.com</t>
  </si>
  <si>
    <t>Olivia Taylor</t>
  </si>
  <si>
    <t>olivia.taylor@gmail.com</t>
  </si>
  <si>
    <t>hank.harris@hotmail.com</t>
  </si>
  <si>
    <t>Xander Brown</t>
  </si>
  <si>
    <t>xander.brown@outlook.com</t>
  </si>
  <si>
    <t>Yasmine Brown</t>
  </si>
  <si>
    <t>yasmine.brown@hotmail.com</t>
  </si>
  <si>
    <t>leo.smith@yahoo.com</t>
  </si>
  <si>
    <t>Xander Rodriguez</t>
  </si>
  <si>
    <t>xander.rodriguez@yahoo.com</t>
  </si>
  <si>
    <t>Hank Martinez</t>
  </si>
  <si>
    <t>hank.martinez@gmail.com</t>
  </si>
  <si>
    <t>Leo Clark</t>
  </si>
  <si>
    <t>leo.clark@hotmail.com</t>
  </si>
  <si>
    <t>Xander Jackson</t>
  </si>
  <si>
    <t>xander.jackson@company.com</t>
  </si>
  <si>
    <t>Paul Taylor</t>
  </si>
  <si>
    <t>paul.taylor@yahoo.com</t>
  </si>
  <si>
    <t>Yasmine Anderson</t>
  </si>
  <si>
    <t>yasmine.anderson@outlook.com</t>
  </si>
  <si>
    <t>Alice Hall</t>
  </si>
  <si>
    <t>alice.hall@outlook.com</t>
  </si>
  <si>
    <t>Wendy Thompson</t>
  </si>
  <si>
    <t>wendy.thompson@hotmail.com</t>
  </si>
  <si>
    <t>Charlie White</t>
  </si>
  <si>
    <t>charlie.white@gmail.com</t>
  </si>
  <si>
    <t>Xander Harris</t>
  </si>
  <si>
    <t>xander.harris@gmail.com</t>
  </si>
  <si>
    <t>Mia Hall</t>
  </si>
  <si>
    <t>mia.hall@outlook.com</t>
  </si>
  <si>
    <t>Eve Lewis</t>
  </si>
  <si>
    <t>eve.lewis@outlook.com</t>
  </si>
  <si>
    <t>Karen Martinez</t>
  </si>
  <si>
    <t>karen.martinez@hotmail.com</t>
  </si>
  <si>
    <t>tina.lee@gmail.com</t>
  </si>
  <si>
    <t>Ivy Garcia</t>
  </si>
  <si>
    <t>ivy.garcia@gmail.com</t>
  </si>
  <si>
    <t>paul.thompson@hotmail.com</t>
  </si>
  <si>
    <t>victor.martinez@yahoo.com</t>
  </si>
  <si>
    <t>Olivia Johnson</t>
  </si>
  <si>
    <t>olivia.johnson@outlook.com</t>
  </si>
  <si>
    <t>Hank Thomas</t>
  </si>
  <si>
    <t>hank.thomas@company.com</t>
  </si>
  <si>
    <t>Bob Taylor</t>
  </si>
  <si>
    <t>bob.taylor@company.com</t>
  </si>
  <si>
    <t>david.garcia@gmail.com</t>
  </si>
  <si>
    <t>Ivy Lewis</t>
  </si>
  <si>
    <t>ivy.lewis@yahoo.com</t>
  </si>
  <si>
    <t>Frank Walker</t>
  </si>
  <si>
    <t>frank.walker@company.com</t>
  </si>
  <si>
    <t>Paul Hall</t>
  </si>
  <si>
    <t>paul.hall@gmail.com</t>
  </si>
  <si>
    <t>Zane Brown</t>
  </si>
  <si>
    <t>zane.brown@hotmail.com</t>
  </si>
  <si>
    <t>Uma Taylor</t>
  </si>
  <si>
    <t>uma.taylor@company.com</t>
  </si>
  <si>
    <t>Ivy Lee</t>
  </si>
  <si>
    <t>ivy.lee@gmail.com</t>
  </si>
  <si>
    <t>wendy.thompson@outlook.com</t>
  </si>
  <si>
    <t>Bob Clark</t>
  </si>
  <si>
    <t>bob.clark@company.com</t>
  </si>
  <si>
    <t>Ivy Thomas</t>
  </si>
  <si>
    <t>ivy.thomas@company.com</t>
  </si>
  <si>
    <t>rachel.anderson@gmail.com</t>
  </si>
  <si>
    <t>jack.lee@outlook.com</t>
  </si>
  <si>
    <t>Steve Anderson</t>
  </si>
  <si>
    <t>steve.anderson@gmail.com</t>
  </si>
  <si>
    <t>Steve Smith</t>
  </si>
  <si>
    <t>steve.smith@outlook.com</t>
  </si>
  <si>
    <t>Charlie Robinson</t>
  </si>
  <si>
    <t>charlie.robinson@gmail.com</t>
  </si>
  <si>
    <t>Leo Lewis</t>
  </si>
  <si>
    <t>leo.lewis@company.com</t>
  </si>
  <si>
    <t>olivia.clark@company.com</t>
  </si>
  <si>
    <t>Bob Johnson</t>
  </si>
  <si>
    <t>bob.johnson@hotmail.com</t>
  </si>
  <si>
    <t>mia.hall@gmail.com</t>
  </si>
  <si>
    <t>Frank Lewis</t>
  </si>
  <si>
    <t>frank.lewis@outlook.com</t>
  </si>
  <si>
    <t>tina.harris@hotmail.com</t>
  </si>
  <si>
    <t>Mia Jackson</t>
  </si>
  <si>
    <t>mia.jackson@hotmail.com</t>
  </si>
  <si>
    <t>Wendy Rodriguez</t>
  </si>
  <si>
    <t>wendy.rodriguez@company.com</t>
  </si>
  <si>
    <t>grace.white@outlook.com</t>
  </si>
  <si>
    <t>Victor Garcia</t>
  </si>
  <si>
    <t>victor.garcia@yahoo.com</t>
  </si>
  <si>
    <t>Rachel Robinson</t>
  </si>
  <si>
    <t>rachel.robinson@yahoo.com</t>
  </si>
  <si>
    <t>Mia Lee</t>
  </si>
  <si>
    <t>mia.lee@outlook.com</t>
  </si>
  <si>
    <t>alice.hall@yahoo.com</t>
  </si>
  <si>
    <t>Bob Robinson</t>
  </si>
  <si>
    <t>bob.robinson@yahoo.com</t>
  </si>
  <si>
    <t>Eve White</t>
  </si>
  <si>
    <t>eve.white@gmail.com</t>
  </si>
  <si>
    <t>Ivy Anderson</t>
  </si>
  <si>
    <t>ivy.anderson@hotmail.com</t>
  </si>
  <si>
    <t>ivy.anderson@gmail.com</t>
  </si>
  <si>
    <t>yasmine.brown@gmail.com</t>
  </si>
  <si>
    <t>Rachel Walker</t>
  </si>
  <si>
    <t>rachel.walker@outlook.com</t>
  </si>
  <si>
    <t>zane.robinson@hotmail.com</t>
  </si>
  <si>
    <t>Ivy Hall</t>
  </si>
  <si>
    <t>ivy.hall@company.com</t>
  </si>
  <si>
    <t>Grace Garcia</t>
  </si>
  <si>
    <t>grace.garcia@yahoo.com</t>
  </si>
  <si>
    <t>tina.thomas@outlook.com</t>
  </si>
  <si>
    <t>Tina Smith</t>
  </si>
  <si>
    <t>tina.smith@yahoo.com</t>
  </si>
  <si>
    <t>Noah Johnson</t>
  </si>
  <si>
    <t>noah.johnson@company.com</t>
  </si>
  <si>
    <t>Frank Harris</t>
  </si>
  <si>
    <t>frank.harris@gmail.com</t>
  </si>
  <si>
    <t>charlie.taylor@gmail.com</t>
  </si>
  <si>
    <t>Mia Brown</t>
  </si>
  <si>
    <t>mia.brown@company.com</t>
  </si>
  <si>
    <t>Olivia Lewis</t>
  </si>
  <si>
    <t>olivia.lewis@gmail.com</t>
  </si>
  <si>
    <t>Grand Total</t>
  </si>
  <si>
    <t>Add Pivot to get data</t>
  </si>
  <si>
    <t>??</t>
  </si>
  <si>
    <t>Column1</t>
  </si>
  <si>
    <t>Use VLOOKUP to pull supplier names from the Suppliers Table into the Orders Table.</t>
  </si>
  <si>
    <t>Vlookup wont work!</t>
  </si>
  <si>
    <t>Sum of Order Quantity</t>
  </si>
  <si>
    <t>Use Case; Which Supplier Sells most QTY</t>
  </si>
  <si>
    <t>Column Labels</t>
  </si>
  <si>
    <t>Jan</t>
  </si>
  <si>
    <t>Feb</t>
  </si>
  <si>
    <t>Mar</t>
  </si>
  <si>
    <t>Apr</t>
  </si>
  <si>
    <t>May</t>
  </si>
  <si>
    <t>Jun</t>
  </si>
  <si>
    <t>Jul</t>
  </si>
  <si>
    <t>Aug</t>
  </si>
  <si>
    <t>Sep</t>
  </si>
  <si>
    <t>Oct</t>
  </si>
  <si>
    <t>Nov</t>
  </si>
  <si>
    <t>Dec</t>
  </si>
  <si>
    <t>Qtr1</t>
  </si>
  <si>
    <t>Qtr1 Total</t>
  </si>
  <si>
    <t>Qtr2</t>
  </si>
  <si>
    <t>Qtr2 Total</t>
  </si>
  <si>
    <t>Qtr3</t>
  </si>
  <si>
    <t>Qtr3 Total</t>
  </si>
  <si>
    <t>Qtr4</t>
  </si>
  <si>
    <t>Qtr4 Total</t>
  </si>
  <si>
    <t>Return Analysis</t>
  </si>
  <si>
    <t xml:space="preserve">Which Customer makes most return? </t>
  </si>
  <si>
    <t>So we need Customer Table &amp; Return Table to talk</t>
  </si>
  <si>
    <t>Use Vlookup/Xlookup to connect the data &amp; run report</t>
  </si>
  <si>
    <t xml:space="preserve">Which Location makes most return? </t>
  </si>
  <si>
    <t>Find the most returned products and their impact on revenue using Pivot Charts.</t>
  </si>
  <si>
    <t>SKU Name</t>
  </si>
  <si>
    <t>How can we know the country of supplier for these Products?
May be we need to change the supplier?</t>
  </si>
  <si>
    <t>Take deep dive and track defective products, we can potentially change supplier</t>
  </si>
  <si>
    <t>Top Returned SKUs:</t>
  </si>
  <si>
    <t>May be a certai location is getting all defective products, due to the courier/shipping error?</t>
  </si>
  <si>
    <t>Worst Supplier</t>
  </si>
  <si>
    <t>What if leader wants to know which country has most defects?</t>
  </si>
  <si>
    <t>Return Id</t>
  </si>
  <si>
    <t>Return Qty</t>
  </si>
  <si>
    <t>(blank)</t>
  </si>
  <si>
    <t>1-309-475-5137</t>
  </si>
  <si>
    <t>1-449-815-8802</t>
  </si>
  <si>
    <t>1-315-470-3270</t>
  </si>
  <si>
    <t>1-923-768-1192</t>
  </si>
  <si>
    <t>1-226-474-4095</t>
  </si>
  <si>
    <t>1-910-569-6695</t>
  </si>
  <si>
    <t>1-452-647-5687</t>
  </si>
  <si>
    <t>1-762-903-1506</t>
  </si>
  <si>
    <t>1-644-756-8195</t>
  </si>
  <si>
    <t>1-313-194-3046</t>
  </si>
  <si>
    <t>1-712-950-9927</t>
  </si>
  <si>
    <t>1-771-133-1122</t>
  </si>
  <si>
    <t>1-884-456-5195</t>
  </si>
  <si>
    <t>1-855-437-7180</t>
  </si>
  <si>
    <t>1-323-998-1735</t>
  </si>
  <si>
    <t>1-304-319-1098</t>
  </si>
  <si>
    <t>1-930-156-7010</t>
  </si>
  <si>
    <t>1-990-508-2634</t>
  </si>
  <si>
    <t>1-283-254-5338</t>
  </si>
  <si>
    <t>1-587-602-1800</t>
  </si>
  <si>
    <t>1-515-491-5753</t>
  </si>
  <si>
    <t>1-961-864-6824</t>
  </si>
  <si>
    <t>1-724-747-8654</t>
  </si>
  <si>
    <t>1-648-777-7635</t>
  </si>
  <si>
    <t>1-381-972-7813</t>
  </si>
  <si>
    <t>1-245-588-8058</t>
  </si>
  <si>
    <t>1-243-455-1634</t>
  </si>
  <si>
    <t>1-945-154-9604</t>
  </si>
  <si>
    <t>1-364-541-9556</t>
  </si>
  <si>
    <t>1-449-500-6982</t>
  </si>
  <si>
    <t>1-481-283-2667</t>
  </si>
  <si>
    <t>1-861-354-5726</t>
  </si>
  <si>
    <t>1-901-144-1707</t>
  </si>
  <si>
    <t>1-227-587-5378</t>
  </si>
  <si>
    <t>1-795-861-8075</t>
  </si>
  <si>
    <t>1-972-105-4541</t>
  </si>
  <si>
    <t>1-939-887-8579</t>
  </si>
  <si>
    <t>1-589-108-1663</t>
  </si>
  <si>
    <t>1-967-300-3153</t>
  </si>
  <si>
    <t>1-830-217-9305</t>
  </si>
  <si>
    <t>1-448-885-1273</t>
  </si>
  <si>
    <t>1-157-380-2988</t>
  </si>
  <si>
    <t>1-103-936-9288</t>
  </si>
  <si>
    <t>1-122-603-8057</t>
  </si>
  <si>
    <t>1-799-896-4345</t>
  </si>
  <si>
    <t>1-594-560-3184</t>
  </si>
  <si>
    <t>1-449-720-9042</t>
  </si>
  <si>
    <t>1-905-745-9843</t>
  </si>
  <si>
    <t>1-341-965-1794</t>
  </si>
  <si>
    <t>1-176-106-3372</t>
  </si>
  <si>
    <t>1-684-378-1920</t>
  </si>
  <si>
    <t>1-262-174-3272</t>
  </si>
  <si>
    <t>1-973-357-2974</t>
  </si>
  <si>
    <t>1-303-355-6615</t>
  </si>
  <si>
    <t>1-881-405-9413</t>
  </si>
  <si>
    <t>1-770-480-4013</t>
  </si>
  <si>
    <t>1-611-428-1744</t>
  </si>
  <si>
    <t>1-544-912-9899</t>
  </si>
  <si>
    <t>1-793-682-5041</t>
  </si>
  <si>
    <t>1-336-913-4020</t>
  </si>
  <si>
    <t>1-521-174-4722</t>
  </si>
  <si>
    <t>1-796-145-1492</t>
  </si>
  <si>
    <t>1-425-240-1046</t>
  </si>
  <si>
    <t>1-179-374-4628</t>
  </si>
  <si>
    <t>1-842-274-8427</t>
  </si>
  <si>
    <t>1-674-371-8128</t>
  </si>
  <si>
    <t>1-528-852-4859</t>
  </si>
  <si>
    <t>1-954-681-9671</t>
  </si>
  <si>
    <t>1-908-380-6509</t>
  </si>
  <si>
    <t>1-811-127-9168</t>
  </si>
  <si>
    <t>1-404-783-2662</t>
  </si>
  <si>
    <t>1-926-881-4201</t>
  </si>
  <si>
    <t>1-218-414-8278</t>
  </si>
  <si>
    <t>1-721-746-1597</t>
  </si>
  <si>
    <t>1-746-486-1950</t>
  </si>
  <si>
    <t>1-727-189-6286</t>
  </si>
  <si>
    <t>1-814-265-6258</t>
  </si>
  <si>
    <t>1-662-174-6216</t>
  </si>
  <si>
    <t>1-828-935-4037</t>
  </si>
  <si>
    <t>1-393-113-7203</t>
  </si>
  <si>
    <t>1-862-833-6548</t>
  </si>
  <si>
    <t>1-650-931-5635</t>
  </si>
  <si>
    <t>1-384-828-6770</t>
  </si>
  <si>
    <t>1-302-695-2370</t>
  </si>
  <si>
    <t>1-303-363-6249</t>
  </si>
  <si>
    <t>1-215-495-8850</t>
  </si>
  <si>
    <t>1-287-307-2472</t>
  </si>
  <si>
    <t>1-253-119-6699</t>
  </si>
  <si>
    <t>1-293-536-3363</t>
  </si>
  <si>
    <t>1-868-112-8758</t>
  </si>
  <si>
    <t>1-555-814-5949</t>
  </si>
  <si>
    <t>1-719-973-4763</t>
  </si>
  <si>
    <t>1-884-490-9220</t>
  </si>
  <si>
    <t>1-162-818-8671</t>
  </si>
  <si>
    <t>1-420-358-1901</t>
  </si>
  <si>
    <t>1-344-863-7511</t>
  </si>
  <si>
    <t>1-382-356-5097</t>
  </si>
  <si>
    <t>1-916-232-4322</t>
  </si>
  <si>
    <t>1-958-415-4845</t>
  </si>
  <si>
    <t>1-604-860-2048</t>
  </si>
  <si>
    <t>1-496-859-2628</t>
  </si>
  <si>
    <t>1-806-240-6201</t>
  </si>
  <si>
    <t>1-517-620-7693</t>
  </si>
  <si>
    <t>1-952-688-4326</t>
  </si>
  <si>
    <t>1-202-537-2339</t>
  </si>
  <si>
    <t>1-845-821-4989</t>
  </si>
  <si>
    <t>1-687-795-2877</t>
  </si>
  <si>
    <t>1-133-205-6863</t>
  </si>
  <si>
    <t>1-892-378-6451</t>
  </si>
  <si>
    <t>1-949-973-5765</t>
  </si>
  <si>
    <t>1-309-826-4868</t>
  </si>
  <si>
    <t>1-206-782-2079</t>
  </si>
  <si>
    <t>1-452-213-2781</t>
  </si>
  <si>
    <t>1-390-279-1363</t>
  </si>
  <si>
    <t>1-245-164-2737</t>
  </si>
  <si>
    <t>1-911-736-2087</t>
  </si>
  <si>
    <t>1-162-937-8336</t>
  </si>
  <si>
    <t>1-657-458-5206</t>
  </si>
  <si>
    <t>1-503-191-4024</t>
  </si>
  <si>
    <t>1-402-944-8531</t>
  </si>
  <si>
    <t>1-202-186-3329</t>
  </si>
  <si>
    <t>1-879-106-3270</t>
  </si>
  <si>
    <t>1-694-444-4813</t>
  </si>
  <si>
    <t>1-964-575-7784</t>
  </si>
  <si>
    <t>1-214-725-5056</t>
  </si>
  <si>
    <t>1-737-431-7481</t>
  </si>
  <si>
    <t>1-754-300-5543</t>
  </si>
  <si>
    <t>1-272-957-6578</t>
  </si>
  <si>
    <t>1-450-497-5697</t>
  </si>
  <si>
    <t>1-172-269-9497</t>
  </si>
  <si>
    <t>1-559-535-5298</t>
  </si>
  <si>
    <t>1-736-857-7955</t>
  </si>
  <si>
    <t>1-469-126-8992</t>
  </si>
  <si>
    <t>1-744-392-5067</t>
  </si>
  <si>
    <t>1-868-692-9086</t>
  </si>
  <si>
    <t>1-674-936-5842</t>
  </si>
  <si>
    <t>1-535-615-1880</t>
  </si>
  <si>
    <t>1-511-296-1155</t>
  </si>
  <si>
    <t>1-982-971-2781</t>
  </si>
  <si>
    <t>1-642-301-7920</t>
  </si>
  <si>
    <t>1-138-644-2599</t>
  </si>
  <si>
    <t>1-941-380-2911</t>
  </si>
  <si>
    <t>1-674-306-8022</t>
  </si>
  <si>
    <t>1-455-605-5223</t>
  </si>
  <si>
    <t>1-600-482-2272</t>
  </si>
  <si>
    <t>1-551-977-7254</t>
  </si>
  <si>
    <t>1-497-316-6847</t>
  </si>
  <si>
    <t>1-998-803-1107</t>
  </si>
  <si>
    <t>1-399-780-6894</t>
  </si>
  <si>
    <t>1-961-705-6854</t>
  </si>
  <si>
    <t>1-327-824-8843</t>
  </si>
  <si>
    <t>1-595-295-5207</t>
  </si>
  <si>
    <t>1-974-346-6715</t>
  </si>
  <si>
    <t>1-355-678-8799</t>
  </si>
  <si>
    <t>1-588-478-2846</t>
  </si>
  <si>
    <t>1-346-852-4157</t>
  </si>
  <si>
    <t>1-489-120-6721</t>
  </si>
  <si>
    <t>1-993-290-5417</t>
  </si>
  <si>
    <t>1-770-547-4402</t>
  </si>
  <si>
    <t>1-150-162-4382</t>
  </si>
  <si>
    <t>1-902-191-3313</t>
  </si>
  <si>
    <t>1-728-323-3737</t>
  </si>
  <si>
    <t>1-482-430-8748</t>
  </si>
  <si>
    <t>1-261-246-1362</t>
  </si>
  <si>
    <t>1-879-635-7294</t>
  </si>
  <si>
    <t>1-850-278-5390</t>
  </si>
  <si>
    <t>1-332-100-2367</t>
  </si>
  <si>
    <t>1-353-351-4730</t>
  </si>
  <si>
    <t>1-440-687-4175</t>
  </si>
  <si>
    <t>1-936-626-4137</t>
  </si>
  <si>
    <t>1-989-938-6366</t>
  </si>
  <si>
    <t>1-698-595-5727</t>
  </si>
  <si>
    <t>1-436-683-8935</t>
  </si>
  <si>
    <t>1-962-828-5747</t>
  </si>
  <si>
    <t>1-636-272-8657</t>
  </si>
  <si>
    <t>1-793-404-3126</t>
  </si>
  <si>
    <t>1-198-492-9566</t>
  </si>
  <si>
    <t>1-957-793-4800</t>
  </si>
  <si>
    <t>1-871-796-5589</t>
  </si>
  <si>
    <t>1-860-620-5405</t>
  </si>
  <si>
    <t>1-454-270-5531</t>
  </si>
  <si>
    <t>1-691-499-4582</t>
  </si>
  <si>
    <t>1-643-776-2428</t>
  </si>
  <si>
    <t>1-864-161-9725</t>
  </si>
  <si>
    <t>1-378-196-6241</t>
  </si>
  <si>
    <t>1-535-420-3986</t>
  </si>
  <si>
    <t>1-470-463-3933</t>
  </si>
  <si>
    <t>1-464-288-6776</t>
  </si>
  <si>
    <t>1-450-361-1216</t>
  </si>
  <si>
    <t>1-808-471-7050</t>
  </si>
  <si>
    <t>1-247-166-4123</t>
  </si>
  <si>
    <t>1-197-362-4358</t>
  </si>
  <si>
    <t>1-965-855-4618</t>
  </si>
  <si>
    <t>1-154-734-6401</t>
  </si>
  <si>
    <t>1-420-445-4246</t>
  </si>
  <si>
    <t>1-217-323-9428</t>
  </si>
  <si>
    <t>1-239-942-2683</t>
  </si>
  <si>
    <t>1-897-456-9676</t>
  </si>
  <si>
    <t>1-816-163-8712</t>
  </si>
  <si>
    <t>1-310-693-5476</t>
  </si>
  <si>
    <t>1-214-421-3784</t>
  </si>
  <si>
    <t>1-803-601-3341</t>
  </si>
  <si>
    <t>1-180-533-9375</t>
  </si>
  <si>
    <t>1-318-205-7734</t>
  </si>
  <si>
    <t>1-640-986-3250</t>
  </si>
  <si>
    <t>1-217-692-8628</t>
  </si>
  <si>
    <t>1-202-753-3852</t>
  </si>
  <si>
    <t>1-347-709-4853</t>
  </si>
  <si>
    <t>1-768-697-4470</t>
  </si>
  <si>
    <t>1-681-981-3585</t>
  </si>
  <si>
    <t>1-625-152-4877</t>
  </si>
  <si>
    <t>1-971-668-1985</t>
  </si>
  <si>
    <t>1-533-278-5952</t>
  </si>
  <si>
    <t>1-200-581-4503</t>
  </si>
  <si>
    <t>1-433-694-9143</t>
  </si>
  <si>
    <t>1-749-296-1959</t>
  </si>
  <si>
    <t>1-557-962-2722</t>
  </si>
  <si>
    <t>1-574-451-9002</t>
  </si>
  <si>
    <t>1-820-958-9317</t>
  </si>
  <si>
    <t>1-343-287-3094</t>
  </si>
  <si>
    <t>1-838-489-8711</t>
  </si>
  <si>
    <t>1-365-405-5923</t>
  </si>
  <si>
    <t>1-882-567-1465</t>
  </si>
  <si>
    <t>1-155-304-9302</t>
  </si>
  <si>
    <t>1-543-315-5385</t>
  </si>
  <si>
    <t>1-301-297-2578</t>
  </si>
  <si>
    <t>1-438-944-8445</t>
  </si>
  <si>
    <t>1-463-565-7128</t>
  </si>
  <si>
    <t>1-876-857-3638</t>
  </si>
  <si>
    <t>1-631-113-3862</t>
  </si>
  <si>
    <t>1-209-513-9596</t>
  </si>
  <si>
    <t>1-343-648-3386</t>
  </si>
  <si>
    <t>1-118-560-8003</t>
  </si>
  <si>
    <t>1-535-141-6284</t>
  </si>
  <si>
    <t>1-869-626-9569</t>
  </si>
  <si>
    <t>1-837-881-7779</t>
  </si>
  <si>
    <t>1-746-432-1870</t>
  </si>
  <si>
    <t>1-273-688-5293</t>
  </si>
  <si>
    <t>1-766-783-2340</t>
  </si>
  <si>
    <t>1-271-486-9158</t>
  </si>
  <si>
    <t>1-992-663-9761</t>
  </si>
  <si>
    <t>1-448-250-5332</t>
  </si>
  <si>
    <t>1-786-839-4272</t>
  </si>
  <si>
    <t>1-443-721-8506</t>
  </si>
  <si>
    <t>1-411-431-9170</t>
  </si>
  <si>
    <t>1-296-712-9252</t>
  </si>
  <si>
    <t>1-288-957-1540</t>
  </si>
  <si>
    <t>1-371-167-7572</t>
  </si>
  <si>
    <t>1-399-510-9349</t>
  </si>
  <si>
    <t>1-397-267-8501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</si>
</sst>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6">
    <fill>
      <patternFill patternType="none"/>
    </fill>
    <fill>
      <patternFill patternType="gray125"/>
    </fill>
    <fill>
      <patternFill patternType="solid">
        <fgColor theme="3" tint="0.79998168889431442"/>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7" tint="0.59999389629810485"/>
        <bgColor indexed="64"/>
      </patternFill>
    </fill>
  </fills>
  <borders count="13">
    <border>
      <left/>
      <right/>
      <top/>
      <bottom/>
      <diagonal/>
    </border>
    <border>
      <left style="thin">
        <color auto="1"/>
      </left>
      <right/>
      <top/>
      <bottom/>
      <diagonal/>
    </border>
    <border>
      <left style="thin">
        <color auto="1"/>
      </left>
      <right style="thin">
        <color auto="1"/>
      </right>
      <top/>
      <bottom style="thin">
        <color auto="1"/>
      </bottom>
      <diagonal/>
    </border>
    <border>
      <left/>
      <right/>
      <top/>
      <bottom style="thin">
        <color auto="1"/>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28">
    <xf numFmtId="0" fontId="0" fillId="0" borderId="0" xfId="0"/>
    <xf numFmtId="0" fontId="1" fillId="0" borderId="0" xfId="0" applyFont="1" applyAlignment="1">
      <alignment horizontal="left" vertical="center" indent="1"/>
    </xf>
    <xf numFmtId="0" fontId="0" fillId="0" borderId="0" xfId="0" applyAlignment="1">
      <alignment horizontal="left" vertical="center" indent="2"/>
    </xf>
    <xf numFmtId="0" fontId="0" fillId="0" borderId="0" xfId="0" pivotButton="1"/>
    <xf numFmtId="0" fontId="1" fillId="0" borderId="1" xfId="0" applyFont="1" applyBorder="1" applyAlignment="1">
      <alignment horizontal="center" vertical="top"/>
    </xf>
    <xf numFmtId="14" fontId="0" fillId="0" borderId="0" xfId="0" applyNumberFormat="1" applyAlignment="1">
      <alignment horizontal="center"/>
    </xf>
    <xf numFmtId="0" fontId="1" fillId="2" borderId="2" xfId="0" applyFont="1" applyFill="1" applyBorder="1" applyAlignment="1">
      <alignment horizontal="center" vertical="top"/>
    </xf>
    <xf numFmtId="0" fontId="1" fillId="3" borderId="2" xfId="0" applyFont="1" applyFill="1" applyBorder="1" applyAlignment="1">
      <alignment horizontal="center" vertical="top"/>
    </xf>
    <xf numFmtId="0" fontId="1" fillId="4" borderId="2" xfId="0" applyFont="1" applyFill="1" applyBorder="1" applyAlignment="1">
      <alignment horizontal="center" vertical="top"/>
    </xf>
    <xf numFmtId="14" fontId="1" fillId="0" borderId="2" xfId="0" applyNumberFormat="1" applyFont="1" applyBorder="1" applyAlignment="1">
      <alignment horizontal="center"/>
    </xf>
    <xf numFmtId="0" fontId="1" fillId="0" borderId="2" xfId="0" applyFont="1" applyBorder="1" applyAlignment="1">
      <alignment horizontal="center" vertical="top"/>
    </xf>
    <xf numFmtId="0" fontId="1" fillId="5" borderId="2" xfId="0" applyFont="1" applyFill="1" applyBorder="1" applyAlignment="1">
      <alignment horizontal="center" vertical="top"/>
    </xf>
    <xf numFmtId="0" fontId="0" fillId="0" borderId="3" xfId="0" applyBorder="1"/>
    <xf numFmtId="0" fontId="0" fillId="0" borderId="0" xfId="0" applyAlignment="1">
      <alignment horizontal="left"/>
    </xf>
    <xf numFmtId="0" fontId="0" fillId="0" borderId="0" xfId="0" pivotButton="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0" fillId="5" borderId="0" xfId="0" applyFill="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1" fillId="0" borderId="3" xfId="0" applyFont="1" applyBorder="1" applyAlignment="1">
      <alignment horizontal="center" vertical="top"/>
    </xf>
  </cellXfs>
  <cellStyles count="1">
    <cellStyle name="Normal" xfId="0" builtinId="0"/>
  </cellStyles>
  <dxfs count="49">
    <dxf>
      <alignment horizontal="center"/>
    </dxf>
    <dxf>
      <alignment horizontal="center"/>
    </dxf>
    <dxf>
      <alignment horizontal="center"/>
    </dxf>
    <dxf>
      <alignment vertical="center"/>
    </dxf>
    <dxf>
      <alignment vertical="center"/>
    </dxf>
    <dxf>
      <alignment vertical="center"/>
    </dxf>
    <dxf>
      <alignment vertical="center"/>
    </dxf>
    <dxf>
      <alignment horizontal="center"/>
    </dxf>
    <dxf>
      <alignment horizontal="center"/>
    </dxf>
    <dxf>
      <alignment vertical="center"/>
    </dxf>
    <dxf>
      <alignment vertical="center"/>
    </dxf>
    <dxf>
      <alignment horizontal="center"/>
    </dxf>
    <dxf>
      <alignment horizontal="center"/>
    </dxf>
    <dxf>
      <alignment vertical="cent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19" formatCode="yyyy/mm/dd"/>
      <alignment horizontal="center" vertical="bottom" textRotation="0" wrapText="0" indent="0" justifyLastLine="0" shrinkToFit="0" readingOrder="0"/>
    </dxf>
    <dxf>
      <border outline="0">
        <top style="thin">
          <color auto="1"/>
        </top>
      </border>
    </dxf>
    <dxf>
      <border outline="0">
        <bottom style="thin">
          <color auto="1"/>
        </bottom>
      </border>
    </dxf>
    <dxf>
      <numFmt numFmtId="0" formatCode="General"/>
    </dxf>
    <dxf>
      <numFmt numFmtId="0" formatCode="General"/>
    </dxf>
    <dxf>
      <numFmt numFmtId="19" formatCode="yyyy/mm/dd"/>
      <alignment horizontal="center" vertical="bottom" textRotation="0" wrapText="0" indent="0" justifyLastLine="0" shrinkToFit="0" readingOrder="0"/>
    </dxf>
    <dxf>
      <border outline="0">
        <top style="thin">
          <color auto="1"/>
        </top>
      </border>
    </dxf>
    <dxf>
      <border outline="0">
        <bottom style="thin">
          <color auto="1"/>
        </bottom>
      </border>
    </dxf>
    <dxf>
      <numFmt numFmtId="0" formatCode="General"/>
    </dxf>
    <dxf>
      <numFmt numFmtId="19" formatCode="yyyy/mm/dd"/>
      <alignment horizontal="center" vertical="bottom" textRotation="0" wrapText="0" indent="0" justifyLastLine="0" shrinkToFit="0" readingOrder="0"/>
    </dxf>
    <dxf>
      <border outline="0">
        <top style="thin">
          <color auto="1"/>
        </top>
      </border>
    </dxf>
    <dxf>
      <border outline="0">
        <bottom style="thin">
          <color auto="1"/>
        </bottom>
      </border>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sharedStrings" Target="sharedStrings.xml"/><Relationship Id="rId21" Type="http://schemas.openxmlformats.org/officeDocument/2006/relationships/pivotCacheDefinition" Target="pivotCache/pivotCacheDefinition4.xml"/><Relationship Id="rId34" Type="http://schemas.openxmlformats.org/officeDocument/2006/relationships/customXml" Target="../customXml/item6.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33" Type="http://schemas.openxmlformats.org/officeDocument/2006/relationships/customXml" Target="../customXml/item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3.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10" Type="http://schemas.openxmlformats.org/officeDocument/2006/relationships/worksheet" Target="worksheets/sheet10.xml"/><Relationship Id="rId19" Type="http://schemas.openxmlformats.org/officeDocument/2006/relationships/pivotCacheDefinition" Target="pivotCache/pivotCacheDefinition2.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1.xml"/><Relationship Id="rId27" Type="http://schemas.openxmlformats.org/officeDocument/2006/relationships/sheetMetadata" Target="metadata.xml"/><Relationship Id="rId30" Type="http://schemas.openxmlformats.org/officeDocument/2006/relationships/customXml" Target="../customXml/item2.xml"/><Relationship Id="rId35" Type="http://schemas.openxmlformats.org/officeDocument/2006/relationships/customXml" Target="../customXml/item7.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without relationship.xlsx]Report 1.2!PivotTable1</c:name>
    <c:fmtId val="1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 1.2'!$B$5</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'Report 1.2'!$A$6:$A$31</c:f>
              <c:strCache>
                <c:ptCount val="25"/>
                <c:pt idx="0">
                  <c:v>ClickTech</c:v>
                </c:pt>
                <c:pt idx="1">
                  <c:v>VisionTech</c:v>
                </c:pt>
                <c:pt idx="2">
                  <c:v>SoundCo</c:v>
                </c:pt>
                <c:pt idx="3">
                  <c:v>SafeTech</c:v>
                </c:pt>
                <c:pt idx="4">
                  <c:v>SoundWave</c:v>
                </c:pt>
                <c:pt idx="5">
                  <c:v>FitTech</c:v>
                </c:pt>
                <c:pt idx="6">
                  <c:v>ChargePro</c:v>
                </c:pt>
                <c:pt idx="7">
                  <c:v>ShutterPro</c:v>
                </c:pt>
                <c:pt idx="8">
                  <c:v>TabletMakers</c:v>
                </c:pt>
                <c:pt idx="9">
                  <c:v>DataSafe</c:v>
                </c:pt>
                <c:pt idx="10">
                  <c:v>SafeDrive</c:v>
                </c:pt>
                <c:pt idx="11">
                  <c:v>DisplayPro</c:v>
                </c:pt>
                <c:pt idx="12">
                  <c:v>VRWorld</c:v>
                </c:pt>
                <c:pt idx="13">
                  <c:v>AeroTech</c:v>
                </c:pt>
                <c:pt idx="14">
                  <c:v>BookTech</c:v>
                </c:pt>
                <c:pt idx="15">
                  <c:v>CleanBot</c:v>
                </c:pt>
                <c:pt idx="16">
                  <c:v>DockIt</c:v>
                </c:pt>
                <c:pt idx="17">
                  <c:v>PlayMax</c:v>
                </c:pt>
                <c:pt idx="18">
                  <c:v>GPUForce</c:v>
                </c:pt>
                <c:pt idx="19">
                  <c:v>StreamIt</c:v>
                </c:pt>
                <c:pt idx="20">
                  <c:v>CompuTech</c:v>
                </c:pt>
                <c:pt idx="21">
                  <c:v>Wearable Inc.</c:v>
                </c:pt>
                <c:pt idx="22">
                  <c:v>BrightHome</c:v>
                </c:pt>
                <c:pt idx="23">
                  <c:v>TechCorp</c:v>
                </c:pt>
                <c:pt idx="24">
                  <c:v>PhotoFrame Inc.</c:v>
                </c:pt>
              </c:strCache>
            </c:strRef>
          </c:cat>
          <c:val>
            <c:numRef>
              <c:f>'Report 1.2'!$B$6:$B$31</c:f>
              <c:numCache>
                <c:formatCode>General</c:formatCode>
                <c:ptCount val="25"/>
                <c:pt idx="0">
                  <c:v>1313</c:v>
                </c:pt>
                <c:pt idx="1">
                  <c:v>748</c:v>
                </c:pt>
                <c:pt idx="2">
                  <c:v>697</c:v>
                </c:pt>
                <c:pt idx="3">
                  <c:v>620</c:v>
                </c:pt>
                <c:pt idx="4">
                  <c:v>571</c:v>
                </c:pt>
                <c:pt idx="5">
                  <c:v>548</c:v>
                </c:pt>
                <c:pt idx="6">
                  <c:v>539</c:v>
                </c:pt>
                <c:pt idx="7">
                  <c:v>509</c:v>
                </c:pt>
                <c:pt idx="8">
                  <c:v>427</c:v>
                </c:pt>
                <c:pt idx="9">
                  <c:v>385</c:v>
                </c:pt>
                <c:pt idx="10">
                  <c:v>377</c:v>
                </c:pt>
                <c:pt idx="11">
                  <c:v>375</c:v>
                </c:pt>
                <c:pt idx="12">
                  <c:v>366</c:v>
                </c:pt>
                <c:pt idx="13">
                  <c:v>320</c:v>
                </c:pt>
                <c:pt idx="14">
                  <c:v>316</c:v>
                </c:pt>
                <c:pt idx="15">
                  <c:v>307</c:v>
                </c:pt>
                <c:pt idx="16">
                  <c:v>305</c:v>
                </c:pt>
                <c:pt idx="17">
                  <c:v>303</c:v>
                </c:pt>
                <c:pt idx="18">
                  <c:v>301</c:v>
                </c:pt>
                <c:pt idx="19">
                  <c:v>289</c:v>
                </c:pt>
                <c:pt idx="20">
                  <c:v>270</c:v>
                </c:pt>
                <c:pt idx="21">
                  <c:v>268</c:v>
                </c:pt>
                <c:pt idx="22">
                  <c:v>225</c:v>
                </c:pt>
                <c:pt idx="23">
                  <c:v>200</c:v>
                </c:pt>
                <c:pt idx="24">
                  <c:v>195</c:v>
                </c:pt>
              </c:numCache>
            </c:numRef>
          </c:val>
          <c:extLst>
            <c:ext xmlns:c16="http://schemas.microsoft.com/office/drawing/2014/chart" uri="{C3380CC4-5D6E-409C-BE32-E72D297353CC}">
              <c16:uniqueId val="{00000000-66F5-4225-A1D1-9C3C1D1EAE3F}"/>
            </c:ext>
          </c:extLst>
        </c:ser>
        <c:dLbls>
          <c:showLegendKey val="0"/>
          <c:showVal val="0"/>
          <c:showCatName val="0"/>
          <c:showSerName val="0"/>
          <c:showPercent val="0"/>
          <c:showBubbleSize val="0"/>
        </c:dLbls>
        <c:gapWidth val="100"/>
        <c:overlap val="-24"/>
        <c:axId val="93183407"/>
        <c:axId val="93192527"/>
      </c:barChart>
      <c:catAx>
        <c:axId val="9318340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192527"/>
        <c:crosses val="autoZero"/>
        <c:auto val="1"/>
        <c:lblAlgn val="ctr"/>
        <c:lblOffset val="100"/>
        <c:noMultiLvlLbl val="0"/>
      </c:catAx>
      <c:valAx>
        <c:axId val="93192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183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without relationship.xlsx]Report 4!PivotTable7</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Return Reason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dLbls>
          <c:dLblPos val="ctr"/>
          <c:showLegendKey val="0"/>
          <c:showVal val="0"/>
          <c:showCatName val="0"/>
          <c:showSerName val="0"/>
          <c:showPercent val="1"/>
          <c:showBubbleSize val="0"/>
          <c:showLeaderLines val="0"/>
        </c:dLbls>
        <c:firstSliceAng val="0"/>
      </c:pieChart>
      <c:spPr>
        <a:noFill/>
        <a:ln>
          <a:noFill/>
        </a:ln>
        <a:effectLst/>
      </c:spPr>
    </c:plotArea>
    <c:legend>
      <c:legendPos val="r"/>
      <c:layout>
        <c:manualLayout>
          <c:xMode val="edge"/>
          <c:yMode val="edge"/>
          <c:x val="0.65695161166313143"/>
          <c:y val="0.40998787612497534"/>
          <c:w val="0.32926320740636889"/>
          <c:h val="0.2972233122388025"/>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without relationship.xlsx]Report 5!PivotTable8</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Supplier</a:t>
            </a:r>
            <a:r>
              <a:rPr lang="en-US" baseline="0"/>
              <a:t> Defect %</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dLbls>
          <c:showLegendKey val="0"/>
          <c:showVal val="0"/>
          <c:showCatName val="0"/>
          <c:showSerName val="0"/>
          <c:showPercent val="0"/>
          <c:showBubbleSize val="0"/>
        </c:dLbls>
        <c:gapWidth val="100"/>
        <c:overlap val="-24"/>
        <c:axId val="2147202319"/>
        <c:axId val="2147205199"/>
      </c:barChart>
      <c:catAx>
        <c:axId val="214720231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7205199"/>
        <c:crosses val="autoZero"/>
        <c:auto val="1"/>
        <c:lblAlgn val="ctr"/>
        <c:lblOffset val="100"/>
        <c:noMultiLvlLbl val="0"/>
      </c:catAx>
      <c:valAx>
        <c:axId val="2147205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7202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6</xdr:col>
      <xdr:colOff>591207</xdr:colOff>
      <xdr:row>2</xdr:row>
      <xdr:rowOff>124810</xdr:rowOff>
    </xdr:from>
    <xdr:to>
      <xdr:col>13</xdr:col>
      <xdr:colOff>472965</xdr:colOff>
      <xdr:row>6</xdr:row>
      <xdr:rowOff>45983</xdr:rowOff>
    </xdr:to>
    <xdr:cxnSp macro="">
      <xdr:nvCxnSpPr>
        <xdr:cNvPr id="3" name="Straight Arrow Connector 2">
          <a:extLst>
            <a:ext uri="{FF2B5EF4-FFF2-40B4-BE49-F238E27FC236}">
              <a16:creationId xmlns:a16="http://schemas.microsoft.com/office/drawing/2014/main" id="{0F86D5E9-195F-6DE7-A7AB-450465A3C01D}"/>
            </a:ext>
          </a:extLst>
        </xdr:cNvPr>
        <xdr:cNvCxnSpPr/>
      </xdr:nvCxnSpPr>
      <xdr:spPr>
        <a:xfrm flipH="1" flipV="1">
          <a:off x="6365328" y="492672"/>
          <a:ext cx="2325413" cy="65689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254732</xdr:colOff>
      <xdr:row>5</xdr:row>
      <xdr:rowOff>132864</xdr:rowOff>
    </xdr:from>
    <xdr:to>
      <xdr:col>17</xdr:col>
      <xdr:colOff>469898</xdr:colOff>
      <xdr:row>13</xdr:row>
      <xdr:rowOff>56419</xdr:rowOff>
    </xdr:to>
    <mc:AlternateContent xmlns:mc="http://schemas.openxmlformats.org/markup-compatibility/2006" xmlns:a14="http://schemas.microsoft.com/office/drawing/2010/main">
      <mc:Choice Requires="a14">
        <xdr:graphicFrame macro="">
          <xdr:nvGraphicFramePr>
            <xdr:cNvPr id="2" name="Supplier Country">
              <a:extLst>
                <a:ext uri="{FF2B5EF4-FFF2-40B4-BE49-F238E27FC236}">
                  <a16:creationId xmlns:a16="http://schemas.microsoft.com/office/drawing/2014/main" id="{146DE047-1AA3-A5DA-BE86-C97AEF6E8A52}"/>
                </a:ext>
              </a:extLst>
            </xdr:cNvPr>
            <xdr:cNvGraphicFramePr/>
          </xdr:nvGraphicFramePr>
          <xdr:xfrm>
            <a:off x="0" y="0"/>
            <a:ext cx="0" cy="0"/>
          </xdr:xfrm>
          <a:graphic>
            <a:graphicData uri="http://schemas.microsoft.com/office/drawing/2010/slicer">
              <sle:slicer xmlns:sle="http://schemas.microsoft.com/office/drawing/2010/slicer" name="Supplier Country"/>
            </a:graphicData>
          </a:graphic>
        </xdr:graphicFrame>
      </mc:Choice>
      <mc:Fallback xmlns="">
        <xdr:sp macro="" textlink="">
          <xdr:nvSpPr>
            <xdr:cNvPr id="0" name=""/>
            <xdr:cNvSpPr>
              <a:spLocks noTextEdit="1"/>
            </xdr:cNvSpPr>
          </xdr:nvSpPr>
          <xdr:spPr>
            <a:xfrm>
              <a:off x="7753349" y="1422402"/>
              <a:ext cx="4468934" cy="138894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278912</xdr:colOff>
      <xdr:row>5</xdr:row>
      <xdr:rowOff>109906</xdr:rowOff>
    </xdr:from>
    <xdr:to>
      <xdr:col>9</xdr:col>
      <xdr:colOff>597144</xdr:colOff>
      <xdr:row>27</xdr:row>
      <xdr:rowOff>48113</xdr:rowOff>
    </xdr:to>
    <xdr:graphicFrame macro="">
      <xdr:nvGraphicFramePr>
        <xdr:cNvPr id="3" name="Chart 2">
          <a:extLst>
            <a:ext uri="{FF2B5EF4-FFF2-40B4-BE49-F238E27FC236}">
              <a16:creationId xmlns:a16="http://schemas.microsoft.com/office/drawing/2014/main" id="{9CCC7562-013C-BF1D-506E-2D3FEEA672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511175</xdr:colOff>
      <xdr:row>8</xdr:row>
      <xdr:rowOff>169862</xdr:rowOff>
    </xdr:from>
    <xdr:to>
      <xdr:col>11</xdr:col>
      <xdr:colOff>552450</xdr:colOff>
      <xdr:row>31</xdr:row>
      <xdr:rowOff>161925</xdr:rowOff>
    </xdr:to>
    <xdr:graphicFrame macro="">
      <xdr:nvGraphicFramePr>
        <xdr:cNvPr id="3" name="Chart 2">
          <a:extLst>
            <a:ext uri="{FF2B5EF4-FFF2-40B4-BE49-F238E27FC236}">
              <a16:creationId xmlns:a16="http://schemas.microsoft.com/office/drawing/2014/main" id="{77CBE3C5-AECB-A5EE-56ED-F8005BC401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400050</xdr:colOff>
      <xdr:row>4</xdr:row>
      <xdr:rowOff>66675</xdr:rowOff>
    </xdr:from>
    <xdr:to>
      <xdr:col>13</xdr:col>
      <xdr:colOff>38100</xdr:colOff>
      <xdr:row>28</xdr:row>
      <xdr:rowOff>152399</xdr:rowOff>
    </xdr:to>
    <xdr:graphicFrame macro="">
      <xdr:nvGraphicFramePr>
        <xdr:cNvPr id="2" name="Chart 1">
          <a:extLst>
            <a:ext uri="{FF2B5EF4-FFF2-40B4-BE49-F238E27FC236}">
              <a16:creationId xmlns:a16="http://schemas.microsoft.com/office/drawing/2014/main" id="{6EDB5F45-54C1-F393-298E-8024A922DC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ideep Singh Narula" refreshedDate="45724.994977546296" createdVersion="8" refreshedVersion="8" minRefreshableVersion="3" recordCount="1000" xr:uid="{8481EF25-676D-448D-A23C-AD4DBA1C3687}">
  <cacheSource type="worksheet">
    <worksheetSource name="Table28"/>
  </cacheSource>
  <cacheFields count="10">
    <cacheField name="Order ID" numFmtId="0">
      <sharedItems containsSemiMixedTypes="0" containsString="0" containsNumber="1" containsInteger="1" minValue="1001" maxValue="2000"/>
    </cacheField>
    <cacheField name="Customer ID" numFmtId="0">
      <sharedItems containsSemiMixedTypes="0" containsString="0" containsNumber="1" containsInteger="1" minValue="501" maxValue="750"/>
    </cacheField>
    <cacheField name="SKU" numFmtId="0">
      <sharedItems/>
    </cacheField>
    <cacheField name="Order Date" numFmtId="14">
      <sharedItems containsSemiMixedTypes="0" containsNonDate="0" containsDate="1" containsString="0" minDate="2024-01-02T00:00:00" maxDate="2025-01-01T00:00:00" count="347">
        <d v="2024-05-06T00:00:00"/>
        <d v="2024-08-08T00:00:00"/>
        <d v="2024-05-14T00:00:00"/>
        <d v="2024-12-26T00:00:00"/>
        <d v="2024-08-29T00:00:00"/>
        <d v="2024-04-19T00:00:00"/>
        <d v="2024-12-22T00:00:00"/>
        <d v="2024-02-29T00:00:00"/>
        <d v="2024-12-12T00:00:00"/>
        <d v="2024-07-12T00:00:00"/>
        <d v="2024-08-27T00:00:00"/>
        <d v="2024-08-09T00:00:00"/>
        <d v="2024-01-02T00:00:00"/>
        <d v="2024-04-29T00:00:00"/>
        <d v="2024-08-10T00:00:00"/>
        <d v="2024-10-22T00:00:00"/>
        <d v="2024-03-27T00:00:00"/>
        <d v="2024-09-03T00:00:00"/>
        <d v="2024-10-05T00:00:00"/>
        <d v="2024-05-25T00:00:00"/>
        <d v="2024-05-26T00:00:00"/>
        <d v="2024-12-14T00:00:00"/>
        <d v="2024-07-21T00:00:00"/>
        <d v="2024-08-15T00:00:00"/>
        <d v="2024-04-07T00:00:00"/>
        <d v="2024-08-06T00:00:00"/>
        <d v="2024-09-22T00:00:00"/>
        <d v="2024-01-18T00:00:00"/>
        <d v="2024-02-09T00:00:00"/>
        <d v="2024-06-13T00:00:00"/>
        <d v="2024-04-16T00:00:00"/>
        <d v="2024-11-16T00:00:00"/>
        <d v="2024-04-05T00:00:00"/>
        <d v="2024-02-17T00:00:00"/>
        <d v="2024-10-25T00:00:00"/>
        <d v="2024-08-19T00:00:00"/>
        <d v="2024-10-15T00:00:00"/>
        <d v="2024-05-11T00:00:00"/>
        <d v="2024-02-06T00:00:00"/>
        <d v="2024-02-26T00:00:00"/>
        <d v="2024-09-13T00:00:00"/>
        <d v="2024-01-26T00:00:00"/>
        <d v="2024-06-04T00:00:00"/>
        <d v="2024-05-24T00:00:00"/>
        <d v="2024-04-22T00:00:00"/>
        <d v="2024-09-12T00:00:00"/>
        <d v="2024-11-02T00:00:00"/>
        <d v="2024-11-01T00:00:00"/>
        <d v="2024-09-27T00:00:00"/>
        <d v="2024-10-30T00:00:00"/>
        <d v="2024-05-27T00:00:00"/>
        <d v="2024-08-11T00:00:00"/>
        <d v="2024-10-01T00:00:00"/>
        <d v="2024-01-16T00:00:00"/>
        <d v="2024-05-16T00:00:00"/>
        <d v="2024-11-15T00:00:00"/>
        <d v="2024-07-03T00:00:00"/>
        <d v="2024-06-27T00:00:00"/>
        <d v="2024-06-30T00:00:00"/>
        <d v="2024-08-30T00:00:00"/>
        <d v="2024-03-13T00:00:00"/>
        <d v="2024-01-06T00:00:00"/>
        <d v="2024-07-31T00:00:00"/>
        <d v="2024-09-19T00:00:00"/>
        <d v="2024-03-31T00:00:00"/>
        <d v="2024-06-26T00:00:00"/>
        <d v="2024-02-16T00:00:00"/>
        <d v="2024-11-04T00:00:00"/>
        <d v="2024-01-12T00:00:00"/>
        <d v="2024-06-19T00:00:00"/>
        <d v="2024-07-01T00:00:00"/>
        <d v="2024-11-30T00:00:00"/>
        <d v="2024-02-12T00:00:00"/>
        <d v="2024-10-13T00:00:00"/>
        <d v="2024-07-17T00:00:00"/>
        <d v="2024-02-27T00:00:00"/>
        <d v="2024-10-10T00:00:00"/>
        <d v="2024-07-22T00:00:00"/>
        <d v="2024-11-12T00:00:00"/>
        <d v="2024-09-29T00:00:00"/>
        <d v="2024-12-11T00:00:00"/>
        <d v="2024-08-26T00:00:00"/>
        <d v="2024-01-24T00:00:00"/>
        <d v="2024-05-02T00:00:00"/>
        <d v="2024-05-22T00:00:00"/>
        <d v="2024-05-10T00:00:00"/>
        <d v="2024-03-03T00:00:00"/>
        <d v="2024-11-17T00:00:00"/>
        <d v="2024-09-07T00:00:00"/>
        <d v="2024-06-21T00:00:00"/>
        <d v="2024-01-14T00:00:00"/>
        <d v="2024-03-12T00:00:00"/>
        <d v="2024-10-18T00:00:00"/>
        <d v="2024-11-20T00:00:00"/>
        <d v="2024-06-14T00:00:00"/>
        <d v="2024-07-09T00:00:00"/>
        <d v="2024-03-04T00:00:00"/>
        <d v="2024-09-23T00:00:00"/>
        <d v="2024-04-01T00:00:00"/>
        <d v="2024-01-30T00:00:00"/>
        <d v="2024-07-07T00:00:00"/>
        <d v="2024-01-19T00:00:00"/>
        <d v="2024-07-19T00:00:00"/>
        <d v="2024-08-23T00:00:00"/>
        <d v="2024-04-03T00:00:00"/>
        <d v="2024-11-19T00:00:00"/>
        <d v="2024-11-25T00:00:00"/>
        <d v="2024-06-06T00:00:00"/>
        <d v="2024-09-15T00:00:00"/>
        <d v="2024-05-08T00:00:00"/>
        <d v="2024-12-23T00:00:00"/>
        <d v="2024-11-24T00:00:00"/>
        <d v="2024-07-15T00:00:00"/>
        <d v="2024-12-15T00:00:00"/>
        <d v="2024-11-08T00:00:00"/>
        <d v="2024-07-05T00:00:00"/>
        <d v="2024-12-25T00:00:00"/>
        <d v="2024-08-02T00:00:00"/>
        <d v="2024-10-20T00:00:00"/>
        <d v="2024-02-03T00:00:00"/>
        <d v="2024-11-28T00:00:00"/>
        <d v="2024-03-02T00:00:00"/>
        <d v="2024-01-17T00:00:00"/>
        <d v="2024-10-07T00:00:00"/>
        <d v="2024-09-16T00:00:00"/>
        <d v="2024-08-12T00:00:00"/>
        <d v="2024-01-04T00:00:00"/>
        <d v="2024-02-22T00:00:00"/>
        <d v="2024-12-29T00:00:00"/>
        <d v="2024-10-31T00:00:00"/>
        <d v="2024-03-20T00:00:00"/>
        <d v="2024-09-21T00:00:00"/>
        <d v="2024-01-22T00:00:00"/>
        <d v="2024-12-02T00:00:00"/>
        <d v="2024-10-28T00:00:00"/>
        <d v="2024-01-20T00:00:00"/>
        <d v="2024-04-13T00:00:00"/>
        <d v="2024-10-06T00:00:00"/>
        <d v="2024-01-21T00:00:00"/>
        <d v="2024-11-06T00:00:00"/>
        <d v="2024-10-08T00:00:00"/>
        <d v="2024-07-28T00:00:00"/>
        <d v="2024-01-25T00:00:00"/>
        <d v="2024-10-29T00:00:00"/>
        <d v="2024-08-22T00:00:00"/>
        <d v="2024-05-23T00:00:00"/>
        <d v="2024-09-18T00:00:00"/>
        <d v="2024-09-14T00:00:00"/>
        <d v="2024-12-09T00:00:00"/>
        <d v="2024-02-08T00:00:00"/>
        <d v="2024-08-24T00:00:00"/>
        <d v="2024-03-14T00:00:00"/>
        <d v="2024-03-18T00:00:00"/>
        <d v="2024-05-04T00:00:00"/>
        <d v="2024-03-17T00:00:00"/>
        <d v="2024-05-18T00:00:00"/>
        <d v="2024-12-24T00:00:00"/>
        <d v="2024-12-18T00:00:00"/>
        <d v="2024-11-05T00:00:00"/>
        <d v="2024-02-11T00:00:00"/>
        <d v="2024-08-17T00:00:00"/>
        <d v="2024-11-22T00:00:00"/>
        <d v="2024-07-24T00:00:00"/>
        <d v="2024-10-19T00:00:00"/>
        <d v="2024-07-29T00:00:00"/>
        <d v="2024-05-15T00:00:00"/>
        <d v="2024-03-22T00:00:00"/>
        <d v="2024-04-26T00:00:00"/>
        <d v="2024-02-14T00:00:00"/>
        <d v="2024-03-24T00:00:00"/>
        <d v="2024-04-28T00:00:00"/>
        <d v="2024-04-30T00:00:00"/>
        <d v="2024-05-21T00:00:00"/>
        <d v="2024-07-18T00:00:00"/>
        <d v="2024-08-05T00:00:00"/>
        <d v="2024-07-23T00:00:00"/>
        <d v="2024-06-12T00:00:00"/>
        <d v="2024-03-11T00:00:00"/>
        <d v="2024-02-05T00:00:00"/>
        <d v="2024-09-26T00:00:00"/>
        <d v="2024-06-01T00:00:00"/>
        <d v="2024-04-12T00:00:00"/>
        <d v="2024-07-27T00:00:00"/>
        <d v="2024-04-18T00:00:00"/>
        <d v="2024-05-28T00:00:00"/>
        <d v="2024-06-17T00:00:00"/>
        <d v="2024-10-12T00:00:00"/>
        <d v="2024-02-15T00:00:00"/>
        <d v="2024-12-04T00:00:00"/>
        <d v="2024-12-05T00:00:00"/>
        <d v="2024-07-08T00:00:00"/>
        <d v="2024-02-21T00:00:00"/>
        <d v="2024-04-15T00:00:00"/>
        <d v="2024-07-30T00:00:00"/>
        <d v="2024-03-07T00:00:00"/>
        <d v="2024-08-13T00:00:00"/>
        <d v="2024-01-28T00:00:00"/>
        <d v="2024-02-20T00:00:00"/>
        <d v="2024-09-24T00:00:00"/>
        <d v="2024-01-07T00:00:00"/>
        <d v="2024-07-11T00:00:00"/>
        <d v="2024-01-09T00:00:00"/>
        <d v="2024-03-30T00:00:00"/>
        <d v="2024-03-06T00:00:00"/>
        <d v="2024-07-06T00:00:00"/>
        <d v="2024-10-26T00:00:00"/>
        <d v="2024-02-24T00:00:00"/>
        <d v="2024-04-27T00:00:00"/>
        <d v="2024-04-11T00:00:00"/>
        <d v="2024-09-08T00:00:00"/>
        <d v="2024-07-13T00:00:00"/>
        <d v="2024-06-05T00:00:00"/>
        <d v="2024-11-14T00:00:00"/>
        <d v="2024-05-17T00:00:00"/>
        <d v="2024-06-18T00:00:00"/>
        <d v="2024-09-10T00:00:00"/>
        <d v="2024-04-02T00:00:00"/>
        <d v="2024-02-01T00:00:00"/>
        <d v="2024-11-13T00:00:00"/>
        <d v="2024-10-03T00:00:00"/>
        <d v="2024-07-04T00:00:00"/>
        <d v="2024-07-16T00:00:00"/>
        <d v="2024-09-09T00:00:00"/>
        <d v="2024-05-13T00:00:00"/>
        <d v="2024-10-27T00:00:00"/>
        <d v="2024-08-25T00:00:00"/>
        <d v="2024-02-23T00:00:00"/>
        <d v="2024-12-16T00:00:00"/>
        <d v="2024-04-09T00:00:00"/>
        <d v="2024-03-25T00:00:00"/>
        <d v="2024-05-09T00:00:00"/>
        <d v="2024-08-04T00:00:00"/>
        <d v="2024-01-08T00:00:00"/>
        <d v="2024-04-14T00:00:00"/>
        <d v="2024-05-31T00:00:00"/>
        <d v="2024-02-10T00:00:00"/>
        <d v="2024-06-24T00:00:00"/>
        <d v="2024-06-15T00:00:00"/>
        <d v="2024-11-18T00:00:00"/>
        <d v="2024-08-16T00:00:00"/>
        <d v="2024-03-26T00:00:00"/>
        <d v="2024-04-24T00:00:00"/>
        <d v="2024-11-23T00:00:00"/>
        <d v="2024-06-08T00:00:00"/>
        <d v="2024-09-30T00:00:00"/>
        <d v="2024-01-11T00:00:00"/>
        <d v="2024-03-19T00:00:00"/>
        <d v="2024-10-21T00:00:00"/>
        <d v="2024-12-17T00:00:00"/>
        <d v="2024-10-04T00:00:00"/>
        <d v="2024-06-28T00:00:00"/>
        <d v="2024-12-31T00:00:00"/>
        <d v="2024-06-23T00:00:00"/>
        <d v="2024-03-23T00:00:00"/>
        <d v="2024-10-17T00:00:00"/>
        <d v="2024-10-11T00:00:00"/>
        <d v="2024-04-21T00:00:00"/>
        <d v="2024-12-21T00:00:00"/>
        <d v="2024-09-06T00:00:00"/>
        <d v="2024-08-18T00:00:00"/>
        <d v="2024-08-28T00:00:00"/>
        <d v="2024-11-07T00:00:00"/>
        <d v="2024-03-09T00:00:00"/>
        <d v="2024-01-27T00:00:00"/>
        <d v="2024-01-13T00:00:00"/>
        <d v="2024-09-02T00:00:00"/>
        <d v="2024-01-29T00:00:00"/>
        <d v="2024-08-07T00:00:00"/>
        <d v="2024-11-27T00:00:00"/>
        <d v="2024-07-25T00:00:00"/>
        <d v="2024-01-05T00:00:00"/>
        <d v="2024-11-21T00:00:00"/>
        <d v="2024-04-25T00:00:00"/>
        <d v="2024-08-01T00:00:00"/>
        <d v="2024-06-09T00:00:00"/>
        <d v="2024-12-01T00:00:00"/>
        <d v="2024-05-12T00:00:00"/>
        <d v="2024-11-26T00:00:00"/>
        <d v="2024-09-28T00:00:00"/>
        <d v="2024-03-08T00:00:00"/>
        <d v="2024-05-01T00:00:00"/>
        <d v="2024-02-18T00:00:00"/>
        <d v="2024-12-07T00:00:00"/>
        <d v="2024-05-03T00:00:00"/>
        <d v="2024-07-26T00:00:00"/>
        <d v="2024-06-07T00:00:00"/>
        <d v="2024-06-11T00:00:00"/>
        <d v="2024-04-08T00:00:00"/>
        <d v="2024-05-05T00:00:00"/>
        <d v="2024-06-20T00:00:00"/>
        <d v="2024-10-24T00:00:00"/>
        <d v="2024-11-11T00:00:00"/>
        <d v="2024-05-30T00:00:00"/>
        <d v="2024-03-28T00:00:00"/>
        <d v="2024-10-09T00:00:00"/>
        <d v="2024-06-02T00:00:00"/>
        <d v="2024-11-29T00:00:00"/>
        <d v="2024-06-25T00:00:00"/>
        <d v="2024-05-20T00:00:00"/>
        <d v="2024-12-30T00:00:00"/>
        <d v="2024-04-17T00:00:00"/>
        <d v="2024-09-04T00:00:00"/>
        <d v="2024-12-19T00:00:00"/>
        <d v="2024-07-14T00:00:00"/>
        <d v="2024-02-28T00:00:00"/>
        <d v="2024-12-10T00:00:00"/>
        <d v="2024-07-20T00:00:00"/>
        <d v="2024-01-15T00:00:00"/>
        <d v="2024-06-22T00:00:00"/>
        <d v="2024-01-23T00:00:00"/>
        <d v="2024-02-07T00:00:00"/>
        <d v="2024-09-01T00:00:00"/>
        <d v="2024-08-21T00:00:00"/>
        <d v="2024-12-20T00:00:00"/>
        <d v="2024-03-10T00:00:00"/>
        <d v="2024-03-21T00:00:00"/>
        <d v="2024-02-04T00:00:00"/>
        <d v="2024-02-25T00:00:00"/>
        <d v="2024-10-16T00:00:00"/>
        <d v="2024-10-14T00:00:00"/>
        <d v="2024-08-14T00:00:00"/>
        <d v="2024-02-02T00:00:00"/>
        <d v="2024-07-02T00:00:00"/>
        <d v="2024-12-06T00:00:00"/>
        <d v="2024-03-29T00:00:00"/>
        <d v="2024-02-19T00:00:00"/>
        <d v="2024-12-13T00:00:00"/>
        <d v="2024-12-27T00:00:00"/>
        <d v="2024-04-20T00:00:00"/>
        <d v="2024-04-10T00:00:00"/>
        <d v="2024-11-03T00:00:00"/>
        <d v="2024-09-17T00:00:00"/>
        <d v="2024-09-11T00:00:00"/>
        <d v="2024-01-03T00:00:00"/>
        <d v="2024-01-31T00:00:00"/>
        <d v="2024-06-10T00:00:00"/>
        <d v="2024-12-03T00:00:00"/>
        <d v="2024-08-20T00:00:00"/>
        <d v="2024-06-29T00:00:00"/>
        <d v="2024-06-03T00:00:00"/>
        <d v="2024-05-29T00:00:00"/>
        <d v="2024-03-01T00:00:00"/>
        <d v="2024-09-20T00:00:00"/>
        <d v="2024-08-31T00:00:00"/>
        <d v="2024-10-23T00:00:00"/>
        <d v="2024-04-06T00:00:00"/>
        <d v="2024-03-15T00:00:00"/>
      </sharedItems>
      <fieldGroup par="9"/>
    </cacheField>
    <cacheField name="Supplier Country" numFmtId="0">
      <sharedItems count="10">
        <s v="Bangladesh"/>
        <s v="Taiwan"/>
        <s v="China"/>
        <s v="Japan"/>
        <s v="Vietnam"/>
        <s v="Canada"/>
        <s v="Germany"/>
        <s v="USA"/>
        <s v="South Korea"/>
        <s v="India"/>
      </sharedItems>
    </cacheField>
    <cacheField name="Order Quantity" numFmtId="0">
      <sharedItems containsSemiMixedTypes="0" containsString="0" containsNumber="1" containsInteger="1" minValue="1" maxValue="20"/>
    </cacheField>
    <cacheField name="Column1" numFmtId="0">
      <sharedItems/>
    </cacheField>
    <cacheField name="Supplier Name" numFmtId="0">
      <sharedItems count="25">
        <s v="Wearable Inc."/>
        <s v="ClickTech"/>
        <s v="PhotoFrame Inc."/>
        <s v="GPUForce"/>
        <s v="SoundWave"/>
        <s v="TabletMakers"/>
        <s v="DisplayPro"/>
        <s v="SoundCo"/>
        <s v="FitTech"/>
        <s v="BrightHome"/>
        <s v="ChargePro"/>
        <s v="VRWorld"/>
        <s v="AeroTech"/>
        <s v="StreamIt"/>
        <s v="ShutterPro"/>
        <s v="VisionTech"/>
        <s v="BookTech"/>
        <s v="CleanBot"/>
        <s v="DataSafe"/>
        <s v="TechCorp"/>
        <s v="DockIt"/>
        <s v="SafeDrive"/>
        <s v="PlayMax"/>
        <s v="SafeTech"/>
        <s v="CompuTech"/>
      </sharedItems>
    </cacheField>
    <cacheField name="Months (Order Date)" numFmtId="0" databaseField="0">
      <fieldGroup base="3">
        <rangePr groupBy="months" startDate="2024-01-02T00:00:00" endDate="2025-01-01T00:00:00"/>
        <groupItems count="14">
          <s v="&lt;2024-01-02"/>
          <s v="Jan"/>
          <s v="Feb"/>
          <s v="Mar"/>
          <s v="Apr"/>
          <s v="May"/>
          <s v="Jun"/>
          <s v="Jul"/>
          <s v="Aug"/>
          <s v="Sep"/>
          <s v="Oct"/>
          <s v="Nov"/>
          <s v="Dec"/>
          <s v="&gt;2025-01-01"/>
        </groupItems>
      </fieldGroup>
    </cacheField>
    <cacheField name="Quarters (Order Date)" numFmtId="0" databaseField="0">
      <fieldGroup base="3">
        <rangePr groupBy="quarters" startDate="2024-01-02T00:00:00" endDate="2025-01-01T00:00:00"/>
        <groupItems count="6">
          <s v="&lt;2024-01-02"/>
          <s v="Qtr1"/>
          <s v="Qtr2"/>
          <s v="Qtr3"/>
          <s v="Qtr4"/>
          <s v="&gt;2025-01-01"/>
        </groupItems>
      </fieldGroup>
    </cacheField>
  </cacheFields>
  <extLst>
    <ext xmlns:x14="http://schemas.microsoft.com/office/spreadsheetml/2009/9/main" uri="{725AE2AE-9491-48be-B2B4-4EB974FC3084}">
      <x14:pivotCacheDefinition pivotCacheId="79383037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ideep Singh Narula" refreshedDate="45724.994977893519" createdVersion="8" refreshedVersion="8" minRefreshableVersion="3" recordCount="1000" xr:uid="{9810149C-F16F-4CB6-A3B5-782621568BEA}">
  <cacheSource type="worksheet">
    <worksheetSource ref="A1:E1001" sheet="Orders"/>
  </cacheSource>
  <cacheFields count="5">
    <cacheField name="Order ID" numFmtId="0">
      <sharedItems containsSemiMixedTypes="0" containsString="0" containsNumber="1" containsInteger="1" minValue="1001" maxValue="2000"/>
    </cacheField>
    <cacheField name="Customer ID" numFmtId="0">
      <sharedItems containsSemiMixedTypes="0" containsString="0" containsNumber="1" containsInteger="1" minValue="501" maxValue="750"/>
    </cacheField>
    <cacheField name="SKU" numFmtId="0">
      <sharedItems count="34">
        <s v="C300"/>
        <s v="X2400"/>
        <s v="G3300"/>
        <s v="Y2500"/>
        <s v="S1900"/>
        <s v="R1800"/>
        <s v="E500"/>
        <s v="E3100"/>
        <s v="H800"/>
        <s v="Z2600"/>
        <s v="G700"/>
        <s v="N1400"/>
        <s v="T2000"/>
        <s v="F600"/>
        <s v="B200"/>
        <s v="M1300"/>
        <s v="A2700"/>
        <s v="O1500"/>
        <s v="U2100"/>
        <s v="W2300"/>
        <s v="H3400"/>
        <s v="B2800"/>
        <s v="Q1700"/>
        <s v="K1100"/>
        <s v="A100"/>
        <s v="F3200"/>
        <s v="V2200"/>
        <s v="C2900"/>
        <s v="I900"/>
        <s v="D3000"/>
        <s v="L1200"/>
        <s v="D400"/>
        <s v="P1600"/>
        <s v="J1000"/>
      </sharedItems>
    </cacheField>
    <cacheField name="Order Date" numFmtId="14">
      <sharedItems containsSemiMixedTypes="0" containsNonDate="0" containsDate="1" containsString="0" minDate="2024-01-02T00:00:00" maxDate="2025-01-01T00:00:00"/>
    </cacheField>
    <cacheField name="Order Quantity" numFmtId="0">
      <sharedItems containsSemiMixedTypes="0" containsString="0" containsNumber="1" containsInteger="1" minValue="1" maxValue="2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ideep Singh Narula" refreshedDate="45724.994978009257" createdVersion="8" refreshedVersion="8" minRefreshableVersion="3" recordCount="1000" xr:uid="{30552951-2111-476F-9BEB-583390459C75}">
  <cacheSource type="worksheet">
    <worksheetSource name="Returns"/>
  </cacheSource>
  <cacheFields count="9">
    <cacheField name="Order ID" numFmtId="0">
      <sharedItems containsString="0" containsBlank="1" containsNumber="1" containsInteger="1" minValue="1001" maxValue="1149"/>
    </cacheField>
    <cacheField name="Return Id" numFmtId="0">
      <sharedItems containsString="0" containsBlank="1" containsNumber="1" containsInteger="1" minValue="2001" maxValue="2031" count="32">
        <n v="2001"/>
        <n v="2002"/>
        <n v="2003"/>
        <n v="2004"/>
        <n v="2005"/>
        <n v="2006"/>
        <n v="2007"/>
        <n v="2008"/>
        <n v="2009"/>
        <n v="2010"/>
        <n v="2011"/>
        <n v="2012"/>
        <n v="2013"/>
        <n v="2014"/>
        <n v="2015"/>
        <n v="2016"/>
        <n v="2017"/>
        <n v="2018"/>
        <n v="2019"/>
        <n v="2020"/>
        <n v="2021"/>
        <n v="2022"/>
        <n v="2023"/>
        <n v="2024"/>
        <n v="2025"/>
        <n v="2026"/>
        <n v="2027"/>
        <n v="2028"/>
        <n v="2029"/>
        <n v="2030"/>
        <n v="2031"/>
        <m/>
      </sharedItems>
    </cacheField>
    <cacheField name="Customer ID" numFmtId="0">
      <sharedItems containsString="0" containsBlank="1" containsNumber="1" containsInteger="1" minValue="506" maxValue="744"/>
    </cacheField>
    <cacheField name="SKU" numFmtId="0">
      <sharedItems containsBlank="1" count="9">
        <s v="F600"/>
        <s v="C300"/>
        <s v="H800"/>
        <s v="A100"/>
        <s v="G700"/>
        <s v="B200"/>
        <s v="E500"/>
        <s v="D400"/>
        <m/>
      </sharedItems>
    </cacheField>
    <cacheField name="Order Date" numFmtId="14">
      <sharedItems containsBlank="1"/>
    </cacheField>
    <cacheField name="Return Qty" numFmtId="0">
      <sharedItems containsString="0" containsBlank="1" containsNumber="1" containsInteger="1" minValue="1" maxValue="20"/>
    </cacheField>
    <cacheField name="Column1" numFmtId="0">
      <sharedItems containsNonDate="0" containsString="0" containsBlank="1"/>
    </cacheField>
    <cacheField name="SKU Name" numFmtId="0">
      <sharedItems containsBlank="1" count="9">
        <s v="Power Bank"/>
        <s v="Smartwatch"/>
        <s v="Bluetooth Speaker"/>
        <s v="Smartphone"/>
        <s v="Wireless Mouse"/>
        <s v="Headphones"/>
        <s v="Tablet"/>
        <s v="Laptop"/>
        <m/>
      </sharedItems>
    </cacheField>
    <cacheField name="Return Reason" numFmtId="0">
      <sharedItems containsBlank="1"/>
    </cacheField>
  </cacheFields>
  <extLst>
    <ext xmlns:x14="http://schemas.microsoft.com/office/spreadsheetml/2009/9/main" uri="{725AE2AE-9491-48be-B2B4-4EB974FC3084}">
      <x14:pivotCacheDefinition pivotCacheId="142214821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ideep Singh Narula" refreshedDate="45724.994978009257" createdVersion="8" refreshedVersion="8" minRefreshableVersion="3" recordCount="34" xr:uid="{9D9186CD-5086-4371-AE2D-6E2746A25B07}">
  <cacheSource type="worksheet">
    <worksheetSource name="Supplier_Products"/>
  </cacheSource>
  <cacheFields count="5">
    <cacheField name="Category" numFmtId="0">
      <sharedItems/>
    </cacheField>
    <cacheField name="Product Name" numFmtId="0">
      <sharedItems/>
    </cacheField>
    <cacheField name="SKU" numFmtId="0">
      <sharedItems/>
    </cacheField>
    <cacheField name="Supplier ID" numFmtId="0">
      <sharedItems containsSemiMixedTypes="0" containsString="0" containsNumber="1" containsInteger="1" minValue="1" maxValue="25"/>
    </cacheField>
    <cacheField name="Supplier" numFmtId="0">
      <sharedItems count="25">
        <s v="TechCorp"/>
        <s v="SoundCo"/>
        <s v="Wearable Inc."/>
        <s v="CompuTech"/>
        <s v="TabletMakers"/>
        <s v="ChargePro"/>
        <s v="ClickTech"/>
        <s v="SoundWave"/>
        <s v="PlayMax"/>
        <s v="VisionTech"/>
        <s v="DataSafe"/>
        <s v="VRWorld"/>
        <s v="FitTech"/>
        <s v="StreamIt"/>
        <s v="SafeTech"/>
        <s v="CleanBot"/>
        <s v="GPUForce"/>
        <s v="BrightHome"/>
        <s v="ShutterPro"/>
        <s v="AeroTech"/>
        <s v="BookTech"/>
        <s v="SafeDrive"/>
        <s v="DisplayPro"/>
        <s v="DockIt"/>
        <s v="PhotoFrame Inc."/>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001"/>
    <n v="612"/>
    <s v="C300"/>
    <x v="0"/>
    <x v="0"/>
    <n v="14"/>
    <s v="Wearable Inc."/>
    <x v="0"/>
  </r>
  <r>
    <n v="1002"/>
    <n v="516"/>
    <s v="C300"/>
    <x v="1"/>
    <x v="0"/>
    <n v="19"/>
    <s v="Wearable Inc."/>
    <x v="0"/>
  </r>
  <r>
    <n v="1003"/>
    <n v="545"/>
    <s v="X2400"/>
    <x v="2"/>
    <x v="1"/>
    <n v="5"/>
    <s v="ClickTech"/>
    <x v="1"/>
  </r>
  <r>
    <n v="1004"/>
    <n v="544"/>
    <s v="G3300"/>
    <x v="3"/>
    <x v="2"/>
    <n v="7"/>
    <s v="PhotoFrame Inc."/>
    <x v="2"/>
  </r>
  <r>
    <n v="1005"/>
    <n v="545"/>
    <s v="Y2500"/>
    <x v="4"/>
    <x v="1"/>
    <n v="12"/>
    <s v="ClickTech"/>
    <x v="1"/>
  </r>
  <r>
    <n v="1006"/>
    <n v="594"/>
    <s v="S1900"/>
    <x v="5"/>
    <x v="1"/>
    <n v="12"/>
    <s v="GPUForce"/>
    <x v="3"/>
  </r>
  <r>
    <n v="1007"/>
    <n v="661"/>
    <s v="R1800"/>
    <x v="6"/>
    <x v="3"/>
    <n v="2"/>
    <s v="SoundWave"/>
    <x v="4"/>
  </r>
  <r>
    <n v="1008"/>
    <n v="726"/>
    <s v="E500"/>
    <x v="7"/>
    <x v="4"/>
    <n v="8"/>
    <s v="TabletMakers"/>
    <x v="5"/>
  </r>
  <r>
    <n v="1009"/>
    <n v="506"/>
    <s v="E3100"/>
    <x v="8"/>
    <x v="1"/>
    <n v="6"/>
    <s v="DisplayPro"/>
    <x v="6"/>
  </r>
  <r>
    <n v="1010"/>
    <n v="693"/>
    <s v="H800"/>
    <x v="9"/>
    <x v="3"/>
    <n v="7"/>
    <s v="SoundWave"/>
    <x v="4"/>
  </r>
  <r>
    <n v="1011"/>
    <n v="522"/>
    <s v="H800"/>
    <x v="10"/>
    <x v="3"/>
    <n v="18"/>
    <s v="SoundWave"/>
    <x v="4"/>
  </r>
  <r>
    <n v="1012"/>
    <n v="633"/>
    <s v="Z2600"/>
    <x v="11"/>
    <x v="4"/>
    <n v="20"/>
    <s v="SoundCo"/>
    <x v="7"/>
  </r>
  <r>
    <n v="1013"/>
    <n v="610"/>
    <s v="G700"/>
    <x v="12"/>
    <x v="1"/>
    <n v="1"/>
    <s v="ClickTech"/>
    <x v="1"/>
  </r>
  <r>
    <n v="1014"/>
    <n v="703"/>
    <s v="N1400"/>
    <x v="13"/>
    <x v="5"/>
    <n v="15"/>
    <s v="FitTech"/>
    <x v="8"/>
  </r>
  <r>
    <n v="1015"/>
    <n v="546"/>
    <s v="Z2600"/>
    <x v="14"/>
    <x v="4"/>
    <n v="3"/>
    <s v="SoundCo"/>
    <x v="7"/>
  </r>
  <r>
    <n v="1016"/>
    <n v="667"/>
    <s v="T2000"/>
    <x v="15"/>
    <x v="6"/>
    <n v="15"/>
    <s v="BrightHome"/>
    <x v="9"/>
  </r>
  <r>
    <n v="1017"/>
    <n v="647"/>
    <s v="Z2600"/>
    <x v="16"/>
    <x v="4"/>
    <n v="19"/>
    <s v="SoundCo"/>
    <x v="7"/>
  </r>
  <r>
    <n v="1018"/>
    <n v="739"/>
    <s v="F600"/>
    <x v="17"/>
    <x v="2"/>
    <n v="5"/>
    <s v="ChargePro"/>
    <x v="10"/>
  </r>
  <r>
    <n v="1019"/>
    <n v="616"/>
    <s v="B200"/>
    <x v="18"/>
    <x v="4"/>
    <n v="5"/>
    <s v="SoundCo"/>
    <x v="7"/>
  </r>
  <r>
    <n v="1020"/>
    <n v="561"/>
    <s v="M1300"/>
    <x v="19"/>
    <x v="7"/>
    <n v="5"/>
    <s v="VRWorld"/>
    <x v="11"/>
  </r>
  <r>
    <n v="1021"/>
    <n v="601"/>
    <s v="A2700"/>
    <x v="20"/>
    <x v="7"/>
    <n v="12"/>
    <s v="AeroTech"/>
    <x v="12"/>
  </r>
  <r>
    <n v="1022"/>
    <n v="527"/>
    <s v="O1500"/>
    <x v="21"/>
    <x v="2"/>
    <n v="20"/>
    <s v="StreamIt"/>
    <x v="13"/>
  </r>
  <r>
    <n v="1023"/>
    <n v="649"/>
    <s v="U2100"/>
    <x v="22"/>
    <x v="2"/>
    <n v="18"/>
    <s v="ChargePro"/>
    <x v="10"/>
  </r>
  <r>
    <n v="1024"/>
    <n v="583"/>
    <s v="N1400"/>
    <x v="23"/>
    <x v="5"/>
    <n v="8"/>
    <s v="FitTech"/>
    <x v="8"/>
  </r>
  <r>
    <n v="1025"/>
    <n v="713"/>
    <s v="S1900"/>
    <x v="24"/>
    <x v="1"/>
    <n v="2"/>
    <s v="GPUForce"/>
    <x v="3"/>
  </r>
  <r>
    <n v="1026"/>
    <n v="549"/>
    <s v="B200"/>
    <x v="25"/>
    <x v="4"/>
    <n v="6"/>
    <s v="SoundCo"/>
    <x v="7"/>
  </r>
  <r>
    <n v="1027"/>
    <n v="544"/>
    <s v="M1300"/>
    <x v="26"/>
    <x v="7"/>
    <n v="16"/>
    <s v="VRWorld"/>
    <x v="11"/>
  </r>
  <r>
    <n v="1028"/>
    <n v="636"/>
    <s v="W2300"/>
    <x v="27"/>
    <x v="3"/>
    <n v="5"/>
    <s v="ShutterPro"/>
    <x v="14"/>
  </r>
  <r>
    <n v="1029"/>
    <n v="577"/>
    <s v="G3300"/>
    <x v="2"/>
    <x v="2"/>
    <n v="14"/>
    <s v="PhotoFrame Inc."/>
    <x v="2"/>
  </r>
  <r>
    <n v="1030"/>
    <n v="615"/>
    <s v="E500"/>
    <x v="28"/>
    <x v="4"/>
    <n v="20"/>
    <s v="TabletMakers"/>
    <x v="5"/>
  </r>
  <r>
    <n v="1031"/>
    <n v="637"/>
    <s v="H3400"/>
    <x v="29"/>
    <x v="7"/>
    <n v="6"/>
    <s v="VisionTech"/>
    <x v="15"/>
  </r>
  <r>
    <n v="1032"/>
    <n v="524"/>
    <s v="B2800"/>
    <x v="30"/>
    <x v="5"/>
    <n v="17"/>
    <s v="BookTech"/>
    <x v="16"/>
  </r>
  <r>
    <n v="1033"/>
    <n v="700"/>
    <s v="H800"/>
    <x v="31"/>
    <x v="3"/>
    <n v="12"/>
    <s v="SoundWave"/>
    <x v="4"/>
  </r>
  <r>
    <n v="1034"/>
    <n v="722"/>
    <s v="Y2500"/>
    <x v="32"/>
    <x v="1"/>
    <n v="15"/>
    <s v="ClickTech"/>
    <x v="1"/>
  </r>
  <r>
    <n v="1035"/>
    <n v="689"/>
    <s v="R1800"/>
    <x v="33"/>
    <x v="3"/>
    <n v="8"/>
    <s v="SoundWave"/>
    <x v="4"/>
  </r>
  <r>
    <n v="1036"/>
    <n v="638"/>
    <s v="Q1700"/>
    <x v="34"/>
    <x v="8"/>
    <n v="14"/>
    <s v="CleanBot"/>
    <x v="17"/>
  </r>
  <r>
    <n v="1037"/>
    <n v="528"/>
    <s v="Y2500"/>
    <x v="35"/>
    <x v="1"/>
    <n v="17"/>
    <s v="ClickTech"/>
    <x v="1"/>
  </r>
  <r>
    <n v="1038"/>
    <n v="638"/>
    <s v="Y2500"/>
    <x v="3"/>
    <x v="1"/>
    <n v="6"/>
    <s v="ClickTech"/>
    <x v="1"/>
  </r>
  <r>
    <n v="1039"/>
    <n v="634"/>
    <s v="K1100"/>
    <x v="36"/>
    <x v="6"/>
    <n v="19"/>
    <s v="DataSafe"/>
    <x v="18"/>
  </r>
  <r>
    <n v="1040"/>
    <n v="733"/>
    <s v="X2400"/>
    <x v="37"/>
    <x v="1"/>
    <n v="10"/>
    <s v="ClickTech"/>
    <x v="1"/>
  </r>
  <r>
    <n v="1041"/>
    <n v="739"/>
    <s v="H800"/>
    <x v="38"/>
    <x v="3"/>
    <n v="13"/>
    <s v="SoundWave"/>
    <x v="4"/>
  </r>
  <r>
    <n v="1042"/>
    <n v="566"/>
    <s v="G700"/>
    <x v="39"/>
    <x v="1"/>
    <n v="8"/>
    <s v="ClickTech"/>
    <x v="1"/>
  </r>
  <r>
    <n v="1043"/>
    <n v="571"/>
    <s v="A2700"/>
    <x v="40"/>
    <x v="7"/>
    <n v="18"/>
    <s v="AeroTech"/>
    <x v="12"/>
  </r>
  <r>
    <n v="1044"/>
    <n v="696"/>
    <s v="W2300"/>
    <x v="3"/>
    <x v="3"/>
    <n v="14"/>
    <s v="ShutterPro"/>
    <x v="14"/>
  </r>
  <r>
    <n v="1045"/>
    <n v="521"/>
    <s v="E3100"/>
    <x v="41"/>
    <x v="1"/>
    <n v="5"/>
    <s v="DisplayPro"/>
    <x v="6"/>
  </r>
  <r>
    <n v="1046"/>
    <n v="514"/>
    <s v="W2300"/>
    <x v="42"/>
    <x v="3"/>
    <n v="14"/>
    <s v="ShutterPro"/>
    <x v="14"/>
  </r>
  <r>
    <n v="1047"/>
    <n v="572"/>
    <s v="K1100"/>
    <x v="43"/>
    <x v="6"/>
    <n v="15"/>
    <s v="DataSafe"/>
    <x v="18"/>
  </r>
  <r>
    <n v="1048"/>
    <n v="725"/>
    <s v="K1100"/>
    <x v="44"/>
    <x v="6"/>
    <n v="18"/>
    <s v="DataSafe"/>
    <x v="18"/>
  </r>
  <r>
    <n v="1049"/>
    <n v="564"/>
    <s v="A100"/>
    <x v="45"/>
    <x v="2"/>
    <n v="9"/>
    <s v="TechCorp"/>
    <x v="19"/>
  </r>
  <r>
    <n v="1050"/>
    <n v="530"/>
    <s v="F3200"/>
    <x v="46"/>
    <x v="4"/>
    <n v="18"/>
    <s v="DockIt"/>
    <x v="20"/>
  </r>
  <r>
    <n v="1051"/>
    <n v="606"/>
    <s v="B200"/>
    <x v="47"/>
    <x v="4"/>
    <n v="10"/>
    <s v="SoundCo"/>
    <x v="7"/>
  </r>
  <r>
    <n v="1052"/>
    <n v="563"/>
    <s v="V2200"/>
    <x v="48"/>
    <x v="3"/>
    <n v="1"/>
    <s v="ShutterPro"/>
    <x v="14"/>
  </r>
  <r>
    <n v="1053"/>
    <n v="633"/>
    <s v="F600"/>
    <x v="49"/>
    <x v="2"/>
    <n v="7"/>
    <s v="ChargePro"/>
    <x v="10"/>
  </r>
  <r>
    <n v="1054"/>
    <n v="708"/>
    <s v="Q1700"/>
    <x v="50"/>
    <x v="8"/>
    <n v="7"/>
    <s v="CleanBot"/>
    <x v="17"/>
  </r>
  <r>
    <n v="1055"/>
    <n v="733"/>
    <s v="F600"/>
    <x v="51"/>
    <x v="2"/>
    <n v="16"/>
    <s v="ChargePro"/>
    <x v="10"/>
  </r>
  <r>
    <n v="1056"/>
    <n v="543"/>
    <s v="C2900"/>
    <x v="52"/>
    <x v="9"/>
    <n v="4"/>
    <s v="SafeDrive"/>
    <x v="21"/>
  </r>
  <r>
    <n v="1057"/>
    <n v="673"/>
    <s v="I900"/>
    <x v="53"/>
    <x v="8"/>
    <n v="13"/>
    <s v="PlayMax"/>
    <x v="22"/>
  </r>
  <r>
    <n v="1058"/>
    <n v="632"/>
    <s v="D3000"/>
    <x v="2"/>
    <x v="9"/>
    <n v="1"/>
    <s v="SafeTech"/>
    <x v="23"/>
  </r>
  <r>
    <n v="1059"/>
    <n v="534"/>
    <s v="F600"/>
    <x v="54"/>
    <x v="2"/>
    <n v="3"/>
    <s v="ChargePro"/>
    <x v="10"/>
  </r>
  <r>
    <n v="1060"/>
    <n v="683"/>
    <s v="C300"/>
    <x v="55"/>
    <x v="0"/>
    <n v="19"/>
    <s v="Wearable Inc."/>
    <x v="0"/>
  </r>
  <r>
    <n v="1061"/>
    <n v="599"/>
    <s v="X2400"/>
    <x v="56"/>
    <x v="1"/>
    <n v="4"/>
    <s v="ClickTech"/>
    <x v="1"/>
  </r>
  <r>
    <n v="1062"/>
    <n v="541"/>
    <s v="A2700"/>
    <x v="57"/>
    <x v="7"/>
    <n v="12"/>
    <s v="AeroTech"/>
    <x v="12"/>
  </r>
  <r>
    <n v="1063"/>
    <n v="558"/>
    <s v="W2300"/>
    <x v="58"/>
    <x v="3"/>
    <n v="1"/>
    <s v="ShutterPro"/>
    <x v="14"/>
  </r>
  <r>
    <n v="1064"/>
    <n v="656"/>
    <s v="L1200"/>
    <x v="59"/>
    <x v="1"/>
    <n v="18"/>
    <s v="ClickTech"/>
    <x v="1"/>
  </r>
  <r>
    <n v="1065"/>
    <n v="697"/>
    <s v="D400"/>
    <x v="16"/>
    <x v="9"/>
    <n v="6"/>
    <s v="CompuTech"/>
    <x v="24"/>
  </r>
  <r>
    <n v="1066"/>
    <n v="726"/>
    <s v="P1600"/>
    <x v="60"/>
    <x v="9"/>
    <n v="11"/>
    <s v="SafeTech"/>
    <x v="23"/>
  </r>
  <r>
    <n v="1067"/>
    <n v="581"/>
    <s v="Z2600"/>
    <x v="21"/>
    <x v="4"/>
    <n v="9"/>
    <s v="SoundCo"/>
    <x v="7"/>
  </r>
  <r>
    <n v="1068"/>
    <n v="717"/>
    <s v="S1900"/>
    <x v="61"/>
    <x v="1"/>
    <n v="13"/>
    <s v="GPUForce"/>
    <x v="3"/>
  </r>
  <r>
    <n v="1069"/>
    <n v="596"/>
    <s v="J1000"/>
    <x v="62"/>
    <x v="7"/>
    <n v="8"/>
    <s v="VisionTech"/>
    <x v="15"/>
  </r>
  <r>
    <n v="1070"/>
    <n v="739"/>
    <s v="H3400"/>
    <x v="63"/>
    <x v="7"/>
    <n v="14"/>
    <s v="VisionTech"/>
    <x v="15"/>
  </r>
  <r>
    <n v="1071"/>
    <n v="589"/>
    <s v="O1500"/>
    <x v="64"/>
    <x v="2"/>
    <n v="12"/>
    <s v="StreamIt"/>
    <x v="13"/>
  </r>
  <r>
    <n v="1072"/>
    <n v="507"/>
    <s v="V2200"/>
    <x v="45"/>
    <x v="3"/>
    <n v="12"/>
    <s v="ShutterPro"/>
    <x v="14"/>
  </r>
  <r>
    <n v="1073"/>
    <n v="603"/>
    <s v="H3400"/>
    <x v="16"/>
    <x v="7"/>
    <n v="14"/>
    <s v="VisionTech"/>
    <x v="15"/>
  </r>
  <r>
    <n v="1074"/>
    <n v="733"/>
    <s v="K1100"/>
    <x v="65"/>
    <x v="6"/>
    <n v="15"/>
    <s v="DataSafe"/>
    <x v="18"/>
  </r>
  <r>
    <n v="1075"/>
    <n v="734"/>
    <s v="X2400"/>
    <x v="66"/>
    <x v="1"/>
    <n v="17"/>
    <s v="ClickTech"/>
    <x v="1"/>
  </r>
  <r>
    <n v="1076"/>
    <n v="707"/>
    <s v="S1900"/>
    <x v="67"/>
    <x v="1"/>
    <n v="19"/>
    <s v="GPUForce"/>
    <x v="3"/>
  </r>
  <r>
    <n v="1077"/>
    <n v="713"/>
    <s v="R1800"/>
    <x v="68"/>
    <x v="3"/>
    <n v="4"/>
    <s v="SoundWave"/>
    <x v="4"/>
  </r>
  <r>
    <n v="1078"/>
    <n v="658"/>
    <s v="B2800"/>
    <x v="50"/>
    <x v="5"/>
    <n v="20"/>
    <s v="BookTech"/>
    <x v="16"/>
  </r>
  <r>
    <n v="1079"/>
    <n v="722"/>
    <s v="X2400"/>
    <x v="69"/>
    <x v="1"/>
    <n v="7"/>
    <s v="ClickTech"/>
    <x v="1"/>
  </r>
  <r>
    <n v="1080"/>
    <n v="740"/>
    <s v="I900"/>
    <x v="70"/>
    <x v="8"/>
    <n v="11"/>
    <s v="PlayMax"/>
    <x v="22"/>
  </r>
  <r>
    <n v="1081"/>
    <n v="511"/>
    <s v="K1100"/>
    <x v="71"/>
    <x v="6"/>
    <n v="9"/>
    <s v="DataSafe"/>
    <x v="18"/>
  </r>
  <r>
    <n v="1082"/>
    <n v="585"/>
    <s v="A100"/>
    <x v="72"/>
    <x v="2"/>
    <n v="14"/>
    <s v="TechCorp"/>
    <x v="19"/>
  </r>
  <r>
    <n v="1083"/>
    <n v="708"/>
    <s v="O1500"/>
    <x v="73"/>
    <x v="2"/>
    <n v="6"/>
    <s v="StreamIt"/>
    <x v="13"/>
  </r>
  <r>
    <n v="1084"/>
    <n v="653"/>
    <s v="E500"/>
    <x v="16"/>
    <x v="4"/>
    <n v="19"/>
    <s v="TabletMakers"/>
    <x v="5"/>
  </r>
  <r>
    <n v="1085"/>
    <n v="744"/>
    <s v="P1600"/>
    <x v="74"/>
    <x v="9"/>
    <n v="20"/>
    <s v="SafeTech"/>
    <x v="23"/>
  </r>
  <r>
    <n v="1086"/>
    <n v="636"/>
    <s v="D400"/>
    <x v="75"/>
    <x v="9"/>
    <n v="9"/>
    <s v="CompuTech"/>
    <x v="24"/>
  </r>
  <r>
    <n v="1087"/>
    <n v="516"/>
    <s v="J1000"/>
    <x v="58"/>
    <x v="7"/>
    <n v="17"/>
    <s v="VisionTech"/>
    <x v="15"/>
  </r>
  <r>
    <n v="1088"/>
    <n v="716"/>
    <s v="F600"/>
    <x v="76"/>
    <x v="2"/>
    <n v="11"/>
    <s v="ChargePro"/>
    <x v="10"/>
  </r>
  <r>
    <n v="1089"/>
    <n v="577"/>
    <s v="E500"/>
    <x v="77"/>
    <x v="4"/>
    <n v="14"/>
    <s v="TabletMakers"/>
    <x v="5"/>
  </r>
  <r>
    <n v="1090"/>
    <n v="535"/>
    <s v="F600"/>
    <x v="67"/>
    <x v="2"/>
    <n v="12"/>
    <s v="ChargePro"/>
    <x v="10"/>
  </r>
  <r>
    <n v="1091"/>
    <n v="718"/>
    <s v="C300"/>
    <x v="78"/>
    <x v="0"/>
    <n v="12"/>
    <s v="Wearable Inc."/>
    <x v="0"/>
  </r>
  <r>
    <n v="1092"/>
    <n v="595"/>
    <s v="I900"/>
    <x v="49"/>
    <x v="8"/>
    <n v="7"/>
    <s v="PlayMax"/>
    <x v="22"/>
  </r>
  <r>
    <n v="1093"/>
    <n v="652"/>
    <s v="D400"/>
    <x v="79"/>
    <x v="9"/>
    <n v="16"/>
    <s v="CompuTech"/>
    <x v="24"/>
  </r>
  <r>
    <n v="1094"/>
    <n v="684"/>
    <s v="Q1700"/>
    <x v="80"/>
    <x v="8"/>
    <n v="8"/>
    <s v="CleanBot"/>
    <x v="17"/>
  </r>
  <r>
    <n v="1095"/>
    <n v="571"/>
    <s v="L1200"/>
    <x v="1"/>
    <x v="1"/>
    <n v="17"/>
    <s v="ClickTech"/>
    <x v="1"/>
  </r>
  <r>
    <n v="1096"/>
    <n v="704"/>
    <s v="B2800"/>
    <x v="81"/>
    <x v="5"/>
    <n v="14"/>
    <s v="BookTech"/>
    <x v="16"/>
  </r>
  <r>
    <n v="1097"/>
    <n v="533"/>
    <s v="N1400"/>
    <x v="82"/>
    <x v="5"/>
    <n v="13"/>
    <s v="FitTech"/>
    <x v="8"/>
  </r>
  <r>
    <n v="1098"/>
    <n v="691"/>
    <s v="N1400"/>
    <x v="83"/>
    <x v="5"/>
    <n v="18"/>
    <s v="FitTech"/>
    <x v="8"/>
  </r>
  <r>
    <n v="1099"/>
    <n v="723"/>
    <s v="Z2600"/>
    <x v="84"/>
    <x v="4"/>
    <n v="17"/>
    <s v="SoundCo"/>
    <x v="7"/>
  </r>
  <r>
    <n v="1100"/>
    <n v="731"/>
    <s v="U2100"/>
    <x v="85"/>
    <x v="2"/>
    <n v="16"/>
    <s v="ChargePro"/>
    <x v="10"/>
  </r>
  <r>
    <n v="1101"/>
    <n v="687"/>
    <s v="C2900"/>
    <x v="86"/>
    <x v="9"/>
    <n v="16"/>
    <s v="SafeDrive"/>
    <x v="21"/>
  </r>
  <r>
    <n v="1102"/>
    <n v="509"/>
    <s v="U2100"/>
    <x v="87"/>
    <x v="2"/>
    <n v="3"/>
    <s v="ChargePro"/>
    <x v="10"/>
  </r>
  <r>
    <n v="1103"/>
    <n v="572"/>
    <s v="D3000"/>
    <x v="88"/>
    <x v="9"/>
    <n v="6"/>
    <s v="SafeTech"/>
    <x v="23"/>
  </r>
  <r>
    <n v="1104"/>
    <n v="596"/>
    <s v="X2400"/>
    <x v="89"/>
    <x v="1"/>
    <n v="9"/>
    <s v="ClickTech"/>
    <x v="1"/>
  </r>
  <r>
    <n v="1105"/>
    <n v="575"/>
    <s v="M1300"/>
    <x v="90"/>
    <x v="7"/>
    <n v="16"/>
    <s v="VRWorld"/>
    <x v="11"/>
  </r>
  <r>
    <n v="1106"/>
    <n v="587"/>
    <s v="Q1700"/>
    <x v="91"/>
    <x v="8"/>
    <n v="7"/>
    <s v="CleanBot"/>
    <x v="17"/>
  </r>
  <r>
    <n v="1107"/>
    <n v="655"/>
    <s v="E500"/>
    <x v="92"/>
    <x v="4"/>
    <n v="5"/>
    <s v="TabletMakers"/>
    <x v="5"/>
  </r>
  <r>
    <n v="1108"/>
    <n v="623"/>
    <s v="Y2500"/>
    <x v="71"/>
    <x v="1"/>
    <n v="3"/>
    <s v="ClickTech"/>
    <x v="1"/>
  </r>
  <r>
    <n v="1109"/>
    <n v="651"/>
    <s v="E500"/>
    <x v="93"/>
    <x v="4"/>
    <n v="13"/>
    <s v="TabletMakers"/>
    <x v="5"/>
  </r>
  <r>
    <n v="1110"/>
    <n v="642"/>
    <s v="Z2600"/>
    <x v="94"/>
    <x v="4"/>
    <n v="2"/>
    <s v="SoundCo"/>
    <x v="7"/>
  </r>
  <r>
    <n v="1111"/>
    <n v="514"/>
    <s v="O1500"/>
    <x v="9"/>
    <x v="2"/>
    <n v="1"/>
    <s v="StreamIt"/>
    <x v="13"/>
  </r>
  <r>
    <n v="1112"/>
    <n v="575"/>
    <s v="N1400"/>
    <x v="0"/>
    <x v="5"/>
    <n v="17"/>
    <s v="FitTech"/>
    <x v="8"/>
  </r>
  <r>
    <n v="1113"/>
    <n v="745"/>
    <s v="I900"/>
    <x v="57"/>
    <x v="8"/>
    <n v="5"/>
    <s v="PlayMax"/>
    <x v="22"/>
  </r>
  <r>
    <n v="1114"/>
    <n v="719"/>
    <s v="D400"/>
    <x v="95"/>
    <x v="9"/>
    <n v="5"/>
    <s v="CompuTech"/>
    <x v="24"/>
  </r>
  <r>
    <n v="1115"/>
    <n v="646"/>
    <s v="A2700"/>
    <x v="96"/>
    <x v="7"/>
    <n v="12"/>
    <s v="AeroTech"/>
    <x v="12"/>
  </r>
  <r>
    <n v="1116"/>
    <n v="583"/>
    <s v="G700"/>
    <x v="97"/>
    <x v="1"/>
    <n v="20"/>
    <s v="ClickTech"/>
    <x v="1"/>
  </r>
  <r>
    <n v="1117"/>
    <n v="676"/>
    <s v="F3200"/>
    <x v="98"/>
    <x v="4"/>
    <n v="12"/>
    <s v="DockIt"/>
    <x v="20"/>
  </r>
  <r>
    <n v="1118"/>
    <n v="629"/>
    <s v="O1500"/>
    <x v="99"/>
    <x v="2"/>
    <n v="11"/>
    <s v="StreamIt"/>
    <x v="13"/>
  </r>
  <r>
    <n v="1119"/>
    <n v="675"/>
    <s v="W2300"/>
    <x v="100"/>
    <x v="3"/>
    <n v="19"/>
    <s v="ShutterPro"/>
    <x v="14"/>
  </r>
  <r>
    <n v="1120"/>
    <n v="678"/>
    <s v="V2200"/>
    <x v="8"/>
    <x v="3"/>
    <n v="14"/>
    <s v="ShutterPro"/>
    <x v="14"/>
  </r>
  <r>
    <n v="1121"/>
    <n v="509"/>
    <s v="Q1700"/>
    <x v="55"/>
    <x v="8"/>
    <n v="1"/>
    <s v="CleanBot"/>
    <x v="17"/>
  </r>
  <r>
    <n v="1122"/>
    <n v="567"/>
    <s v="A2700"/>
    <x v="101"/>
    <x v="7"/>
    <n v="15"/>
    <s v="AeroTech"/>
    <x v="12"/>
  </r>
  <r>
    <n v="1123"/>
    <n v="526"/>
    <s v="J1000"/>
    <x v="102"/>
    <x v="7"/>
    <n v="4"/>
    <s v="VisionTech"/>
    <x v="15"/>
  </r>
  <r>
    <n v="1124"/>
    <n v="578"/>
    <s v="Q1700"/>
    <x v="103"/>
    <x v="8"/>
    <n v="16"/>
    <s v="CleanBot"/>
    <x v="17"/>
  </r>
  <r>
    <n v="1125"/>
    <n v="594"/>
    <s v="W2300"/>
    <x v="104"/>
    <x v="3"/>
    <n v="3"/>
    <s v="ShutterPro"/>
    <x v="14"/>
  </r>
  <r>
    <n v="1126"/>
    <n v="604"/>
    <s v="E3100"/>
    <x v="105"/>
    <x v="1"/>
    <n v="11"/>
    <s v="DisplayPro"/>
    <x v="6"/>
  </r>
  <r>
    <n v="1127"/>
    <n v="545"/>
    <s v="O1500"/>
    <x v="106"/>
    <x v="2"/>
    <n v="14"/>
    <s v="StreamIt"/>
    <x v="13"/>
  </r>
  <r>
    <n v="1128"/>
    <n v="703"/>
    <s v="A100"/>
    <x v="107"/>
    <x v="2"/>
    <n v="9"/>
    <s v="TechCorp"/>
    <x v="19"/>
  </r>
  <r>
    <n v="1129"/>
    <n v="532"/>
    <s v="Z2600"/>
    <x v="4"/>
    <x v="4"/>
    <n v="5"/>
    <s v="SoundCo"/>
    <x v="7"/>
  </r>
  <r>
    <n v="1130"/>
    <n v="741"/>
    <s v="U2100"/>
    <x v="108"/>
    <x v="2"/>
    <n v="7"/>
    <s v="ChargePro"/>
    <x v="10"/>
  </r>
  <r>
    <n v="1131"/>
    <n v="688"/>
    <s v="L1200"/>
    <x v="19"/>
    <x v="1"/>
    <n v="19"/>
    <s v="ClickTech"/>
    <x v="1"/>
  </r>
  <r>
    <n v="1132"/>
    <n v="571"/>
    <s v="D3000"/>
    <x v="109"/>
    <x v="9"/>
    <n v="16"/>
    <s v="SafeTech"/>
    <x v="23"/>
  </r>
  <r>
    <n v="1133"/>
    <n v="671"/>
    <s v="Y2500"/>
    <x v="110"/>
    <x v="1"/>
    <n v="3"/>
    <s v="ClickTech"/>
    <x v="1"/>
  </r>
  <r>
    <n v="1134"/>
    <n v="603"/>
    <s v="F3200"/>
    <x v="111"/>
    <x v="4"/>
    <n v="9"/>
    <s v="DockIt"/>
    <x v="20"/>
  </r>
  <r>
    <n v="1135"/>
    <n v="649"/>
    <s v="C2900"/>
    <x v="87"/>
    <x v="9"/>
    <n v="9"/>
    <s v="SafeDrive"/>
    <x v="21"/>
  </r>
  <r>
    <n v="1136"/>
    <n v="528"/>
    <s v="Q1700"/>
    <x v="37"/>
    <x v="8"/>
    <n v="17"/>
    <s v="CleanBot"/>
    <x v="17"/>
  </r>
  <r>
    <n v="1137"/>
    <n v="736"/>
    <s v="E3100"/>
    <x v="25"/>
    <x v="1"/>
    <n v="4"/>
    <s v="DisplayPro"/>
    <x v="6"/>
  </r>
  <r>
    <n v="1138"/>
    <n v="739"/>
    <s v="Y2500"/>
    <x v="112"/>
    <x v="1"/>
    <n v="20"/>
    <s v="ClickTech"/>
    <x v="1"/>
  </r>
  <r>
    <n v="1139"/>
    <n v="593"/>
    <s v="X2400"/>
    <x v="113"/>
    <x v="1"/>
    <n v="13"/>
    <s v="ClickTech"/>
    <x v="1"/>
  </r>
  <r>
    <n v="1140"/>
    <n v="623"/>
    <s v="A2700"/>
    <x v="114"/>
    <x v="7"/>
    <n v="12"/>
    <s v="AeroTech"/>
    <x v="12"/>
  </r>
  <r>
    <n v="1141"/>
    <n v="687"/>
    <s v="V2200"/>
    <x v="115"/>
    <x v="3"/>
    <n v="13"/>
    <s v="ShutterPro"/>
    <x v="14"/>
  </r>
  <r>
    <n v="1142"/>
    <n v="739"/>
    <s v="D3000"/>
    <x v="116"/>
    <x v="9"/>
    <n v="16"/>
    <s v="SafeTech"/>
    <x v="23"/>
  </r>
  <r>
    <n v="1143"/>
    <n v="706"/>
    <s v="G3300"/>
    <x v="117"/>
    <x v="2"/>
    <n v="15"/>
    <s v="PhotoFrame Inc."/>
    <x v="2"/>
  </r>
  <r>
    <n v="1144"/>
    <n v="608"/>
    <s v="P1600"/>
    <x v="118"/>
    <x v="9"/>
    <n v="20"/>
    <s v="SafeTech"/>
    <x v="23"/>
  </r>
  <r>
    <n v="1145"/>
    <n v="532"/>
    <s v="F3200"/>
    <x v="119"/>
    <x v="4"/>
    <n v="18"/>
    <s v="DockIt"/>
    <x v="20"/>
  </r>
  <r>
    <n v="1146"/>
    <n v="666"/>
    <s v="U2100"/>
    <x v="120"/>
    <x v="2"/>
    <n v="7"/>
    <s v="ChargePro"/>
    <x v="10"/>
  </r>
  <r>
    <n v="1147"/>
    <n v="705"/>
    <s v="G700"/>
    <x v="25"/>
    <x v="1"/>
    <n v="18"/>
    <s v="ClickTech"/>
    <x v="1"/>
  </r>
  <r>
    <n v="1148"/>
    <n v="648"/>
    <s v="R1800"/>
    <x v="21"/>
    <x v="3"/>
    <n v="3"/>
    <s v="SoundWave"/>
    <x v="4"/>
  </r>
  <r>
    <n v="1149"/>
    <n v="610"/>
    <s v="Q1700"/>
    <x v="32"/>
    <x v="8"/>
    <n v="14"/>
    <s v="CleanBot"/>
    <x v="17"/>
  </r>
  <r>
    <n v="1150"/>
    <n v="586"/>
    <s v="N1400"/>
    <x v="121"/>
    <x v="5"/>
    <n v="7"/>
    <s v="FitTech"/>
    <x v="8"/>
  </r>
  <r>
    <n v="1151"/>
    <n v="729"/>
    <s v="B200"/>
    <x v="122"/>
    <x v="4"/>
    <n v="9"/>
    <s v="SoundCo"/>
    <x v="7"/>
  </r>
  <r>
    <n v="1152"/>
    <n v="747"/>
    <s v="S1900"/>
    <x v="14"/>
    <x v="1"/>
    <n v="14"/>
    <s v="GPUForce"/>
    <x v="3"/>
  </r>
  <r>
    <n v="1153"/>
    <n v="665"/>
    <s v="N1400"/>
    <x v="123"/>
    <x v="5"/>
    <n v="1"/>
    <s v="FitTech"/>
    <x v="8"/>
  </r>
  <r>
    <n v="1154"/>
    <n v="750"/>
    <s v="F600"/>
    <x v="124"/>
    <x v="2"/>
    <n v="8"/>
    <s v="ChargePro"/>
    <x v="10"/>
  </r>
  <r>
    <n v="1155"/>
    <n v="690"/>
    <s v="O1500"/>
    <x v="125"/>
    <x v="2"/>
    <n v="18"/>
    <s v="StreamIt"/>
    <x v="13"/>
  </r>
  <r>
    <n v="1156"/>
    <n v="560"/>
    <s v="Y2500"/>
    <x v="41"/>
    <x v="1"/>
    <n v="12"/>
    <s v="ClickTech"/>
    <x v="1"/>
  </r>
  <r>
    <n v="1157"/>
    <n v="584"/>
    <s v="A2700"/>
    <x v="126"/>
    <x v="7"/>
    <n v="13"/>
    <s v="AeroTech"/>
    <x v="12"/>
  </r>
  <r>
    <n v="1158"/>
    <n v="541"/>
    <s v="E500"/>
    <x v="127"/>
    <x v="4"/>
    <n v="3"/>
    <s v="TabletMakers"/>
    <x v="5"/>
  </r>
  <r>
    <n v="1159"/>
    <n v="505"/>
    <s v="Y2500"/>
    <x v="128"/>
    <x v="1"/>
    <n v="10"/>
    <s v="ClickTech"/>
    <x v="1"/>
  </r>
  <r>
    <n v="1160"/>
    <n v="672"/>
    <s v="E3100"/>
    <x v="129"/>
    <x v="1"/>
    <n v="13"/>
    <s v="DisplayPro"/>
    <x v="6"/>
  </r>
  <r>
    <n v="1161"/>
    <n v="684"/>
    <s v="F3200"/>
    <x v="130"/>
    <x v="4"/>
    <n v="19"/>
    <s v="DockIt"/>
    <x v="20"/>
  </r>
  <r>
    <n v="1162"/>
    <n v="549"/>
    <s v="H3400"/>
    <x v="131"/>
    <x v="7"/>
    <n v="12"/>
    <s v="VisionTech"/>
    <x v="15"/>
  </r>
  <r>
    <n v="1163"/>
    <n v="627"/>
    <s v="F3200"/>
    <x v="132"/>
    <x v="4"/>
    <n v="3"/>
    <s v="DockIt"/>
    <x v="20"/>
  </r>
  <r>
    <n v="1164"/>
    <n v="657"/>
    <s v="V2200"/>
    <x v="133"/>
    <x v="3"/>
    <n v="13"/>
    <s v="ShutterPro"/>
    <x v="14"/>
  </r>
  <r>
    <n v="1165"/>
    <n v="605"/>
    <s v="E3100"/>
    <x v="97"/>
    <x v="1"/>
    <n v="8"/>
    <s v="DisplayPro"/>
    <x v="6"/>
  </r>
  <r>
    <n v="1166"/>
    <n v="557"/>
    <s v="B2800"/>
    <x v="115"/>
    <x v="5"/>
    <n v="13"/>
    <s v="BookTech"/>
    <x v="16"/>
  </r>
  <r>
    <n v="1167"/>
    <n v="665"/>
    <s v="K1100"/>
    <x v="134"/>
    <x v="6"/>
    <n v="17"/>
    <s v="DataSafe"/>
    <x v="18"/>
  </r>
  <r>
    <n v="1168"/>
    <n v="700"/>
    <s v="B200"/>
    <x v="135"/>
    <x v="4"/>
    <n v="2"/>
    <s v="SoundCo"/>
    <x v="7"/>
  </r>
  <r>
    <n v="1169"/>
    <n v="552"/>
    <s v="E500"/>
    <x v="136"/>
    <x v="4"/>
    <n v="16"/>
    <s v="TabletMakers"/>
    <x v="5"/>
  </r>
  <r>
    <n v="1170"/>
    <n v="632"/>
    <s v="G700"/>
    <x v="26"/>
    <x v="1"/>
    <n v="17"/>
    <s v="ClickTech"/>
    <x v="1"/>
  </r>
  <r>
    <n v="1171"/>
    <n v="553"/>
    <s v="Y2500"/>
    <x v="137"/>
    <x v="1"/>
    <n v="20"/>
    <s v="ClickTech"/>
    <x v="1"/>
  </r>
  <r>
    <n v="1172"/>
    <n v="575"/>
    <s v="X2400"/>
    <x v="32"/>
    <x v="1"/>
    <n v="19"/>
    <s v="ClickTech"/>
    <x v="1"/>
  </r>
  <r>
    <n v="1173"/>
    <n v="514"/>
    <s v="S1900"/>
    <x v="138"/>
    <x v="1"/>
    <n v="6"/>
    <s v="GPUForce"/>
    <x v="3"/>
  </r>
  <r>
    <n v="1174"/>
    <n v="622"/>
    <s v="D3000"/>
    <x v="139"/>
    <x v="9"/>
    <n v="19"/>
    <s v="SafeTech"/>
    <x v="23"/>
  </r>
  <r>
    <n v="1175"/>
    <n v="575"/>
    <s v="V2200"/>
    <x v="140"/>
    <x v="3"/>
    <n v="14"/>
    <s v="ShutterPro"/>
    <x v="14"/>
  </r>
  <r>
    <n v="1176"/>
    <n v="587"/>
    <s v="N1400"/>
    <x v="27"/>
    <x v="5"/>
    <n v="17"/>
    <s v="FitTech"/>
    <x v="8"/>
  </r>
  <r>
    <n v="1177"/>
    <n v="551"/>
    <s v="Q1700"/>
    <x v="141"/>
    <x v="8"/>
    <n v="11"/>
    <s v="CleanBot"/>
    <x v="17"/>
  </r>
  <r>
    <n v="1178"/>
    <n v="529"/>
    <s v="G700"/>
    <x v="142"/>
    <x v="1"/>
    <n v="3"/>
    <s v="ClickTech"/>
    <x v="1"/>
  </r>
  <r>
    <n v="1179"/>
    <n v="521"/>
    <s v="D3000"/>
    <x v="143"/>
    <x v="9"/>
    <n v="17"/>
    <s v="SafeTech"/>
    <x v="23"/>
  </r>
  <r>
    <n v="1180"/>
    <n v="663"/>
    <s v="M1300"/>
    <x v="133"/>
    <x v="7"/>
    <n v="7"/>
    <s v="VRWorld"/>
    <x v="11"/>
  </r>
  <r>
    <n v="1181"/>
    <n v="635"/>
    <s v="B200"/>
    <x v="144"/>
    <x v="4"/>
    <n v="5"/>
    <s v="SoundCo"/>
    <x v="7"/>
  </r>
  <r>
    <n v="1182"/>
    <n v="528"/>
    <s v="B2800"/>
    <x v="80"/>
    <x v="5"/>
    <n v="9"/>
    <s v="BookTech"/>
    <x v="16"/>
  </r>
  <r>
    <n v="1183"/>
    <n v="507"/>
    <s v="T2000"/>
    <x v="145"/>
    <x v="6"/>
    <n v="15"/>
    <s v="BrightHome"/>
    <x v="9"/>
  </r>
  <r>
    <n v="1184"/>
    <n v="698"/>
    <s v="M1300"/>
    <x v="146"/>
    <x v="7"/>
    <n v="5"/>
    <s v="VRWorld"/>
    <x v="11"/>
  </r>
  <r>
    <n v="1185"/>
    <n v="736"/>
    <s v="E500"/>
    <x v="142"/>
    <x v="4"/>
    <n v="4"/>
    <s v="TabletMakers"/>
    <x v="5"/>
  </r>
  <r>
    <n v="1186"/>
    <n v="501"/>
    <s v="D400"/>
    <x v="147"/>
    <x v="9"/>
    <n v="8"/>
    <s v="CompuTech"/>
    <x v="24"/>
  </r>
  <r>
    <n v="1187"/>
    <n v="623"/>
    <s v="S1900"/>
    <x v="2"/>
    <x v="1"/>
    <n v="3"/>
    <s v="GPUForce"/>
    <x v="3"/>
  </r>
  <r>
    <n v="1188"/>
    <n v="649"/>
    <s v="L1200"/>
    <x v="73"/>
    <x v="1"/>
    <n v="20"/>
    <s v="ClickTech"/>
    <x v="1"/>
  </r>
  <r>
    <n v="1189"/>
    <n v="597"/>
    <s v="C2900"/>
    <x v="148"/>
    <x v="9"/>
    <n v="5"/>
    <s v="SafeDrive"/>
    <x v="21"/>
  </r>
  <r>
    <n v="1190"/>
    <n v="563"/>
    <s v="A2700"/>
    <x v="149"/>
    <x v="7"/>
    <n v="10"/>
    <s v="AeroTech"/>
    <x v="12"/>
  </r>
  <r>
    <n v="1191"/>
    <n v="721"/>
    <s v="N1400"/>
    <x v="5"/>
    <x v="5"/>
    <n v="18"/>
    <s v="FitTech"/>
    <x v="8"/>
  </r>
  <r>
    <n v="1192"/>
    <n v="551"/>
    <s v="S1900"/>
    <x v="37"/>
    <x v="1"/>
    <n v="12"/>
    <s v="GPUForce"/>
    <x v="3"/>
  </r>
  <r>
    <n v="1193"/>
    <n v="581"/>
    <s v="W2300"/>
    <x v="32"/>
    <x v="3"/>
    <n v="6"/>
    <s v="ShutterPro"/>
    <x v="14"/>
  </r>
  <r>
    <n v="1194"/>
    <n v="645"/>
    <s v="Q1700"/>
    <x v="150"/>
    <x v="8"/>
    <n v="9"/>
    <s v="CleanBot"/>
    <x v="17"/>
  </r>
  <r>
    <n v="1195"/>
    <n v="545"/>
    <s v="J1000"/>
    <x v="151"/>
    <x v="7"/>
    <n v="18"/>
    <s v="VisionTech"/>
    <x v="15"/>
  </r>
  <r>
    <n v="1196"/>
    <n v="603"/>
    <s v="V2200"/>
    <x v="152"/>
    <x v="3"/>
    <n v="15"/>
    <s v="ShutterPro"/>
    <x v="14"/>
  </r>
  <r>
    <n v="1197"/>
    <n v="720"/>
    <s v="J1000"/>
    <x v="153"/>
    <x v="7"/>
    <n v="19"/>
    <s v="VisionTech"/>
    <x v="15"/>
  </r>
  <r>
    <n v="1198"/>
    <n v="747"/>
    <s v="Z2600"/>
    <x v="154"/>
    <x v="4"/>
    <n v="3"/>
    <s v="SoundCo"/>
    <x v="7"/>
  </r>
  <r>
    <n v="1199"/>
    <n v="567"/>
    <s v="N1400"/>
    <x v="155"/>
    <x v="5"/>
    <n v="18"/>
    <s v="FitTech"/>
    <x v="8"/>
  </r>
  <r>
    <n v="1200"/>
    <n v="579"/>
    <s v="X2400"/>
    <x v="156"/>
    <x v="1"/>
    <n v="15"/>
    <s v="ClickTech"/>
    <x v="1"/>
  </r>
  <r>
    <n v="1201"/>
    <n v="591"/>
    <s v="G700"/>
    <x v="157"/>
    <x v="1"/>
    <n v="10"/>
    <s v="ClickTech"/>
    <x v="1"/>
  </r>
  <r>
    <n v="1202"/>
    <n v="610"/>
    <s v="T2000"/>
    <x v="81"/>
    <x v="6"/>
    <n v="16"/>
    <s v="BrightHome"/>
    <x v="9"/>
  </r>
  <r>
    <n v="1203"/>
    <n v="659"/>
    <s v="Q1700"/>
    <x v="119"/>
    <x v="8"/>
    <n v="11"/>
    <s v="CleanBot"/>
    <x v="17"/>
  </r>
  <r>
    <n v="1204"/>
    <n v="536"/>
    <s v="K1100"/>
    <x v="158"/>
    <x v="6"/>
    <n v="8"/>
    <s v="DataSafe"/>
    <x v="18"/>
  </r>
  <r>
    <n v="1205"/>
    <n v="728"/>
    <s v="K1100"/>
    <x v="8"/>
    <x v="6"/>
    <n v="1"/>
    <s v="DataSafe"/>
    <x v="18"/>
  </r>
  <r>
    <n v="1206"/>
    <n v="624"/>
    <s v="P1600"/>
    <x v="134"/>
    <x v="9"/>
    <n v="5"/>
    <s v="SafeTech"/>
    <x v="23"/>
  </r>
  <r>
    <n v="1207"/>
    <n v="724"/>
    <s v="C2900"/>
    <x v="159"/>
    <x v="9"/>
    <n v="7"/>
    <s v="SafeDrive"/>
    <x v="21"/>
  </r>
  <r>
    <n v="1208"/>
    <n v="649"/>
    <s v="H800"/>
    <x v="130"/>
    <x v="3"/>
    <n v="3"/>
    <s v="SoundWave"/>
    <x v="4"/>
  </r>
  <r>
    <n v="1209"/>
    <n v="654"/>
    <s v="V2200"/>
    <x v="160"/>
    <x v="3"/>
    <n v="19"/>
    <s v="ShutterPro"/>
    <x v="14"/>
  </r>
  <r>
    <n v="1210"/>
    <n v="556"/>
    <s v="N1400"/>
    <x v="161"/>
    <x v="5"/>
    <n v="17"/>
    <s v="FitTech"/>
    <x v="8"/>
  </r>
  <r>
    <n v="1211"/>
    <n v="661"/>
    <s v="B2800"/>
    <x v="27"/>
    <x v="5"/>
    <n v="16"/>
    <s v="BookTech"/>
    <x v="16"/>
  </r>
  <r>
    <n v="1212"/>
    <n v="599"/>
    <s v="F600"/>
    <x v="162"/>
    <x v="2"/>
    <n v="7"/>
    <s v="ChargePro"/>
    <x v="10"/>
  </r>
  <r>
    <n v="1213"/>
    <n v="698"/>
    <s v="M1300"/>
    <x v="124"/>
    <x v="7"/>
    <n v="8"/>
    <s v="VRWorld"/>
    <x v="11"/>
  </r>
  <r>
    <n v="1214"/>
    <n v="545"/>
    <s v="I900"/>
    <x v="163"/>
    <x v="8"/>
    <n v="18"/>
    <s v="PlayMax"/>
    <x v="22"/>
  </r>
  <r>
    <n v="1215"/>
    <n v="719"/>
    <s v="K1100"/>
    <x v="164"/>
    <x v="6"/>
    <n v="10"/>
    <s v="DataSafe"/>
    <x v="18"/>
  </r>
  <r>
    <n v="1216"/>
    <n v="597"/>
    <s v="H800"/>
    <x v="165"/>
    <x v="3"/>
    <n v="7"/>
    <s v="SoundWave"/>
    <x v="4"/>
  </r>
  <r>
    <n v="1217"/>
    <n v="600"/>
    <s v="V2200"/>
    <x v="79"/>
    <x v="3"/>
    <n v="6"/>
    <s v="ShutterPro"/>
    <x v="14"/>
  </r>
  <r>
    <n v="1218"/>
    <n v="628"/>
    <s v="B200"/>
    <x v="166"/>
    <x v="4"/>
    <n v="11"/>
    <s v="SoundCo"/>
    <x v="7"/>
  </r>
  <r>
    <n v="1219"/>
    <n v="634"/>
    <s v="H800"/>
    <x v="129"/>
    <x v="3"/>
    <n v="1"/>
    <s v="SoundWave"/>
    <x v="4"/>
  </r>
  <r>
    <n v="1220"/>
    <n v="534"/>
    <s v="Q1700"/>
    <x v="113"/>
    <x v="8"/>
    <n v="17"/>
    <s v="CleanBot"/>
    <x v="17"/>
  </r>
  <r>
    <n v="1221"/>
    <n v="671"/>
    <s v="L1200"/>
    <x v="167"/>
    <x v="1"/>
    <n v="3"/>
    <s v="ClickTech"/>
    <x v="1"/>
  </r>
  <r>
    <n v="1222"/>
    <n v="510"/>
    <s v="N1400"/>
    <x v="168"/>
    <x v="5"/>
    <n v="7"/>
    <s v="FitTech"/>
    <x v="8"/>
  </r>
  <r>
    <n v="1223"/>
    <n v="640"/>
    <s v="W2300"/>
    <x v="169"/>
    <x v="3"/>
    <n v="11"/>
    <s v="ShutterPro"/>
    <x v="14"/>
  </r>
  <r>
    <n v="1224"/>
    <n v="626"/>
    <s v="S1900"/>
    <x v="34"/>
    <x v="1"/>
    <n v="5"/>
    <s v="GPUForce"/>
    <x v="3"/>
  </r>
  <r>
    <n v="1225"/>
    <n v="511"/>
    <s v="D400"/>
    <x v="75"/>
    <x v="9"/>
    <n v="16"/>
    <s v="CompuTech"/>
    <x v="24"/>
  </r>
  <r>
    <n v="1226"/>
    <n v="518"/>
    <s v="S1900"/>
    <x v="170"/>
    <x v="1"/>
    <n v="16"/>
    <s v="GPUForce"/>
    <x v="3"/>
  </r>
  <r>
    <n v="1227"/>
    <n v="537"/>
    <s v="C2900"/>
    <x v="171"/>
    <x v="9"/>
    <n v="16"/>
    <s v="SafeDrive"/>
    <x v="21"/>
  </r>
  <r>
    <n v="1228"/>
    <n v="557"/>
    <s v="K1100"/>
    <x v="172"/>
    <x v="6"/>
    <n v="11"/>
    <s v="DataSafe"/>
    <x v="18"/>
  </r>
  <r>
    <n v="1229"/>
    <n v="532"/>
    <s v="E500"/>
    <x v="173"/>
    <x v="4"/>
    <n v="19"/>
    <s v="TabletMakers"/>
    <x v="5"/>
  </r>
  <r>
    <n v="1230"/>
    <n v="689"/>
    <s v="E500"/>
    <x v="174"/>
    <x v="4"/>
    <n v="4"/>
    <s v="TabletMakers"/>
    <x v="5"/>
  </r>
  <r>
    <n v="1231"/>
    <n v="695"/>
    <s v="W2300"/>
    <x v="10"/>
    <x v="3"/>
    <n v="18"/>
    <s v="ShutterPro"/>
    <x v="14"/>
  </r>
  <r>
    <n v="1232"/>
    <n v="669"/>
    <s v="K1100"/>
    <x v="0"/>
    <x v="6"/>
    <n v="6"/>
    <s v="DataSafe"/>
    <x v="18"/>
  </r>
  <r>
    <n v="1233"/>
    <n v="511"/>
    <s v="K1100"/>
    <x v="175"/>
    <x v="6"/>
    <n v="19"/>
    <s v="DataSafe"/>
    <x v="18"/>
  </r>
  <r>
    <n v="1234"/>
    <n v="505"/>
    <s v="D3000"/>
    <x v="176"/>
    <x v="9"/>
    <n v="4"/>
    <s v="SafeTech"/>
    <x v="23"/>
  </r>
  <r>
    <n v="1235"/>
    <n v="520"/>
    <s v="E3100"/>
    <x v="177"/>
    <x v="1"/>
    <n v="12"/>
    <s v="DisplayPro"/>
    <x v="6"/>
  </r>
  <r>
    <n v="1236"/>
    <n v="637"/>
    <s v="P1600"/>
    <x v="178"/>
    <x v="9"/>
    <n v="2"/>
    <s v="SafeTech"/>
    <x v="23"/>
  </r>
  <r>
    <n v="1237"/>
    <n v="689"/>
    <s v="K1100"/>
    <x v="179"/>
    <x v="6"/>
    <n v="1"/>
    <s v="DataSafe"/>
    <x v="18"/>
  </r>
  <r>
    <n v="1238"/>
    <n v="719"/>
    <s v="C300"/>
    <x v="35"/>
    <x v="0"/>
    <n v="3"/>
    <s v="Wearable Inc."/>
    <x v="0"/>
  </r>
  <r>
    <n v="1239"/>
    <n v="537"/>
    <s v="Y2500"/>
    <x v="180"/>
    <x v="1"/>
    <n v="1"/>
    <s v="ClickTech"/>
    <x v="1"/>
  </r>
  <r>
    <n v="1240"/>
    <n v="657"/>
    <s v="D400"/>
    <x v="148"/>
    <x v="9"/>
    <n v="16"/>
    <s v="CompuTech"/>
    <x v="24"/>
  </r>
  <r>
    <n v="1241"/>
    <n v="698"/>
    <s v="E500"/>
    <x v="181"/>
    <x v="4"/>
    <n v="13"/>
    <s v="TabletMakers"/>
    <x v="5"/>
  </r>
  <r>
    <n v="1242"/>
    <n v="556"/>
    <s v="V2200"/>
    <x v="122"/>
    <x v="3"/>
    <n v="12"/>
    <s v="ShutterPro"/>
    <x v="14"/>
  </r>
  <r>
    <n v="1243"/>
    <n v="595"/>
    <s v="G700"/>
    <x v="182"/>
    <x v="1"/>
    <n v="20"/>
    <s v="ClickTech"/>
    <x v="1"/>
  </r>
  <r>
    <n v="1244"/>
    <n v="666"/>
    <s v="A100"/>
    <x v="127"/>
    <x v="2"/>
    <n v="17"/>
    <s v="TechCorp"/>
    <x v="19"/>
  </r>
  <r>
    <n v="1245"/>
    <n v="689"/>
    <s v="K1100"/>
    <x v="183"/>
    <x v="6"/>
    <n v="11"/>
    <s v="DataSafe"/>
    <x v="18"/>
  </r>
  <r>
    <n v="1246"/>
    <n v="617"/>
    <s v="F600"/>
    <x v="184"/>
    <x v="2"/>
    <n v="1"/>
    <s v="ChargePro"/>
    <x v="10"/>
  </r>
  <r>
    <n v="1247"/>
    <n v="746"/>
    <s v="D400"/>
    <x v="185"/>
    <x v="9"/>
    <n v="18"/>
    <s v="CompuTech"/>
    <x v="24"/>
  </r>
  <r>
    <n v="1248"/>
    <n v="645"/>
    <s v="F3200"/>
    <x v="186"/>
    <x v="4"/>
    <n v="20"/>
    <s v="DockIt"/>
    <x v="20"/>
  </r>
  <r>
    <n v="1249"/>
    <n v="709"/>
    <s v="H3400"/>
    <x v="187"/>
    <x v="7"/>
    <n v="17"/>
    <s v="VisionTech"/>
    <x v="15"/>
  </r>
  <r>
    <n v="1250"/>
    <n v="587"/>
    <s v="N1400"/>
    <x v="188"/>
    <x v="5"/>
    <n v="14"/>
    <s v="FitTech"/>
    <x v="8"/>
  </r>
  <r>
    <n v="1251"/>
    <n v="655"/>
    <s v="L1200"/>
    <x v="31"/>
    <x v="1"/>
    <n v="18"/>
    <s v="ClickTech"/>
    <x v="1"/>
  </r>
  <r>
    <n v="1252"/>
    <n v="679"/>
    <s v="D400"/>
    <x v="189"/>
    <x v="9"/>
    <n v="2"/>
    <s v="CompuTech"/>
    <x v="24"/>
  </r>
  <r>
    <n v="1253"/>
    <n v="510"/>
    <s v="O1500"/>
    <x v="190"/>
    <x v="2"/>
    <n v="16"/>
    <s v="StreamIt"/>
    <x v="13"/>
  </r>
  <r>
    <n v="1254"/>
    <n v="667"/>
    <s v="X2400"/>
    <x v="191"/>
    <x v="1"/>
    <n v="7"/>
    <s v="ClickTech"/>
    <x v="1"/>
  </r>
  <r>
    <n v="1255"/>
    <n v="556"/>
    <s v="C2900"/>
    <x v="125"/>
    <x v="9"/>
    <n v="20"/>
    <s v="SafeDrive"/>
    <x v="21"/>
  </r>
  <r>
    <n v="1256"/>
    <n v="548"/>
    <s v="Q1700"/>
    <x v="192"/>
    <x v="8"/>
    <n v="14"/>
    <s v="CleanBot"/>
    <x v="17"/>
  </r>
  <r>
    <n v="1257"/>
    <n v="647"/>
    <s v="F600"/>
    <x v="193"/>
    <x v="2"/>
    <n v="9"/>
    <s v="ChargePro"/>
    <x v="10"/>
  </r>
  <r>
    <n v="1258"/>
    <n v="747"/>
    <s v="D400"/>
    <x v="194"/>
    <x v="9"/>
    <n v="2"/>
    <s v="CompuTech"/>
    <x v="24"/>
  </r>
  <r>
    <n v="1259"/>
    <n v="715"/>
    <s v="S1900"/>
    <x v="31"/>
    <x v="1"/>
    <n v="19"/>
    <s v="GPUForce"/>
    <x v="3"/>
  </r>
  <r>
    <n v="1260"/>
    <n v="651"/>
    <s v="E3100"/>
    <x v="195"/>
    <x v="1"/>
    <n v="3"/>
    <s v="DisplayPro"/>
    <x v="6"/>
  </r>
  <r>
    <n v="1261"/>
    <n v="546"/>
    <s v="Z2600"/>
    <x v="196"/>
    <x v="4"/>
    <n v="4"/>
    <s v="SoundCo"/>
    <x v="7"/>
  </r>
  <r>
    <n v="1262"/>
    <n v="674"/>
    <s v="R1800"/>
    <x v="39"/>
    <x v="3"/>
    <n v="8"/>
    <s v="SoundWave"/>
    <x v="4"/>
  </r>
  <r>
    <n v="1263"/>
    <n v="662"/>
    <s v="Y2500"/>
    <x v="197"/>
    <x v="1"/>
    <n v="1"/>
    <s v="ClickTech"/>
    <x v="1"/>
  </r>
  <r>
    <n v="1264"/>
    <n v="677"/>
    <s v="K1100"/>
    <x v="196"/>
    <x v="6"/>
    <n v="12"/>
    <s v="DataSafe"/>
    <x v="18"/>
  </r>
  <r>
    <n v="1265"/>
    <n v="735"/>
    <s v="E500"/>
    <x v="198"/>
    <x v="4"/>
    <n v="11"/>
    <s v="TabletMakers"/>
    <x v="5"/>
  </r>
  <r>
    <n v="1266"/>
    <n v="582"/>
    <s v="B200"/>
    <x v="199"/>
    <x v="4"/>
    <n v="16"/>
    <s v="SoundCo"/>
    <x v="7"/>
  </r>
  <r>
    <n v="1267"/>
    <n v="614"/>
    <s v="A2700"/>
    <x v="117"/>
    <x v="7"/>
    <n v="15"/>
    <s v="AeroTech"/>
    <x v="12"/>
  </r>
  <r>
    <n v="1268"/>
    <n v="518"/>
    <s v="R1800"/>
    <x v="200"/>
    <x v="3"/>
    <n v="8"/>
    <s v="SoundWave"/>
    <x v="4"/>
  </r>
  <r>
    <n v="1269"/>
    <n v="527"/>
    <s v="D400"/>
    <x v="52"/>
    <x v="9"/>
    <n v="14"/>
    <s v="CompuTech"/>
    <x v="24"/>
  </r>
  <r>
    <n v="1270"/>
    <n v="593"/>
    <s v="B2800"/>
    <x v="104"/>
    <x v="5"/>
    <n v="2"/>
    <s v="BookTech"/>
    <x v="16"/>
  </r>
  <r>
    <n v="1271"/>
    <n v="527"/>
    <s v="D3000"/>
    <x v="201"/>
    <x v="9"/>
    <n v="3"/>
    <s v="SafeTech"/>
    <x v="23"/>
  </r>
  <r>
    <n v="1272"/>
    <n v="581"/>
    <s v="B2800"/>
    <x v="202"/>
    <x v="5"/>
    <n v="10"/>
    <s v="BookTech"/>
    <x v="16"/>
  </r>
  <r>
    <n v="1273"/>
    <n v="609"/>
    <s v="R1800"/>
    <x v="10"/>
    <x v="3"/>
    <n v="19"/>
    <s v="SoundWave"/>
    <x v="4"/>
  </r>
  <r>
    <n v="1274"/>
    <n v="530"/>
    <s v="F3200"/>
    <x v="203"/>
    <x v="4"/>
    <n v="6"/>
    <s v="DockIt"/>
    <x v="20"/>
  </r>
  <r>
    <n v="1275"/>
    <n v="637"/>
    <s v="C300"/>
    <x v="57"/>
    <x v="0"/>
    <n v="15"/>
    <s v="Wearable Inc."/>
    <x v="0"/>
  </r>
  <r>
    <n v="1276"/>
    <n v="702"/>
    <s v="B2800"/>
    <x v="85"/>
    <x v="5"/>
    <n v="15"/>
    <s v="BookTech"/>
    <x v="16"/>
  </r>
  <r>
    <n v="1277"/>
    <n v="532"/>
    <s v="E3100"/>
    <x v="85"/>
    <x v="1"/>
    <n v="1"/>
    <s v="DisplayPro"/>
    <x v="6"/>
  </r>
  <r>
    <n v="1278"/>
    <n v="573"/>
    <s v="E3100"/>
    <x v="204"/>
    <x v="1"/>
    <n v="4"/>
    <s v="DisplayPro"/>
    <x v="6"/>
  </r>
  <r>
    <n v="1279"/>
    <n v="716"/>
    <s v="H3400"/>
    <x v="205"/>
    <x v="7"/>
    <n v="7"/>
    <s v="VisionTech"/>
    <x v="15"/>
  </r>
  <r>
    <n v="1280"/>
    <n v="701"/>
    <s v="E3100"/>
    <x v="206"/>
    <x v="1"/>
    <n v="12"/>
    <s v="DisplayPro"/>
    <x v="6"/>
  </r>
  <r>
    <n v="1281"/>
    <n v="603"/>
    <s v="Q1700"/>
    <x v="149"/>
    <x v="8"/>
    <n v="3"/>
    <s v="CleanBot"/>
    <x v="17"/>
  </r>
  <r>
    <n v="1282"/>
    <n v="614"/>
    <s v="Z2600"/>
    <x v="207"/>
    <x v="4"/>
    <n v="11"/>
    <s v="SoundCo"/>
    <x v="7"/>
  </r>
  <r>
    <n v="1283"/>
    <n v="566"/>
    <s v="D3000"/>
    <x v="208"/>
    <x v="9"/>
    <n v="4"/>
    <s v="SafeTech"/>
    <x v="23"/>
  </r>
  <r>
    <n v="1284"/>
    <n v="507"/>
    <s v="N1400"/>
    <x v="209"/>
    <x v="5"/>
    <n v="20"/>
    <s v="FitTech"/>
    <x v="8"/>
  </r>
  <r>
    <n v="1285"/>
    <n v="538"/>
    <s v="E500"/>
    <x v="210"/>
    <x v="4"/>
    <n v="10"/>
    <s v="TabletMakers"/>
    <x v="5"/>
  </r>
  <r>
    <n v="1286"/>
    <n v="660"/>
    <s v="O1500"/>
    <x v="121"/>
    <x v="2"/>
    <n v="13"/>
    <s v="StreamIt"/>
    <x v="13"/>
  </r>
  <r>
    <n v="1287"/>
    <n v="719"/>
    <s v="C300"/>
    <x v="211"/>
    <x v="0"/>
    <n v="6"/>
    <s v="Wearable Inc."/>
    <x v="0"/>
  </r>
  <r>
    <n v="1288"/>
    <n v="728"/>
    <s v="X2400"/>
    <x v="126"/>
    <x v="1"/>
    <n v="17"/>
    <s v="ClickTech"/>
    <x v="1"/>
  </r>
  <r>
    <n v="1289"/>
    <n v="679"/>
    <s v="Y2500"/>
    <x v="19"/>
    <x v="1"/>
    <n v="10"/>
    <s v="ClickTech"/>
    <x v="1"/>
  </r>
  <r>
    <n v="1290"/>
    <n v="739"/>
    <s v="A2700"/>
    <x v="128"/>
    <x v="7"/>
    <n v="16"/>
    <s v="AeroTech"/>
    <x v="12"/>
  </r>
  <r>
    <n v="1291"/>
    <n v="620"/>
    <s v="M1300"/>
    <x v="207"/>
    <x v="7"/>
    <n v="6"/>
    <s v="VRWorld"/>
    <x v="11"/>
  </r>
  <r>
    <n v="1292"/>
    <n v="733"/>
    <s v="B200"/>
    <x v="79"/>
    <x v="4"/>
    <n v="6"/>
    <s v="SoundCo"/>
    <x v="7"/>
  </r>
  <r>
    <n v="1293"/>
    <n v="580"/>
    <s v="Z2600"/>
    <x v="212"/>
    <x v="4"/>
    <n v="15"/>
    <s v="SoundCo"/>
    <x v="7"/>
  </r>
  <r>
    <n v="1294"/>
    <n v="677"/>
    <s v="E3100"/>
    <x v="213"/>
    <x v="1"/>
    <n v="12"/>
    <s v="DisplayPro"/>
    <x v="6"/>
  </r>
  <r>
    <n v="1295"/>
    <n v="704"/>
    <s v="E500"/>
    <x v="155"/>
    <x v="4"/>
    <n v="15"/>
    <s v="TabletMakers"/>
    <x v="5"/>
  </r>
  <r>
    <n v="1296"/>
    <n v="632"/>
    <s v="D400"/>
    <x v="214"/>
    <x v="9"/>
    <n v="12"/>
    <s v="CompuTech"/>
    <x v="24"/>
  </r>
  <r>
    <n v="1297"/>
    <n v="660"/>
    <s v="F3200"/>
    <x v="9"/>
    <x v="4"/>
    <n v="11"/>
    <s v="DockIt"/>
    <x v="20"/>
  </r>
  <r>
    <n v="1298"/>
    <n v="541"/>
    <s v="M1300"/>
    <x v="207"/>
    <x v="7"/>
    <n v="1"/>
    <s v="VRWorld"/>
    <x v="11"/>
  </r>
  <r>
    <n v="1299"/>
    <n v="590"/>
    <s v="O1500"/>
    <x v="214"/>
    <x v="2"/>
    <n v="3"/>
    <s v="StreamIt"/>
    <x v="13"/>
  </r>
  <r>
    <n v="1300"/>
    <n v="624"/>
    <s v="N1400"/>
    <x v="191"/>
    <x v="5"/>
    <n v="2"/>
    <s v="FitTech"/>
    <x v="8"/>
  </r>
  <r>
    <n v="1301"/>
    <n v="574"/>
    <s v="U2100"/>
    <x v="51"/>
    <x v="2"/>
    <n v="3"/>
    <s v="ChargePro"/>
    <x v="10"/>
  </r>
  <r>
    <n v="1302"/>
    <n v="599"/>
    <s v="F600"/>
    <x v="215"/>
    <x v="2"/>
    <n v="7"/>
    <s v="ChargePro"/>
    <x v="10"/>
  </r>
  <r>
    <n v="1303"/>
    <n v="660"/>
    <s v="E3100"/>
    <x v="216"/>
    <x v="1"/>
    <n v="7"/>
    <s v="DisplayPro"/>
    <x v="6"/>
  </r>
  <r>
    <n v="1304"/>
    <n v="601"/>
    <s v="F3200"/>
    <x v="95"/>
    <x v="4"/>
    <n v="15"/>
    <s v="DockIt"/>
    <x v="20"/>
  </r>
  <r>
    <n v="1305"/>
    <n v="687"/>
    <s v="X2400"/>
    <x v="217"/>
    <x v="1"/>
    <n v="10"/>
    <s v="ClickTech"/>
    <x v="1"/>
  </r>
  <r>
    <n v="1306"/>
    <n v="732"/>
    <s v="A100"/>
    <x v="161"/>
    <x v="2"/>
    <n v="12"/>
    <s v="TechCorp"/>
    <x v="19"/>
  </r>
  <r>
    <n v="1307"/>
    <n v="730"/>
    <s v="D400"/>
    <x v="144"/>
    <x v="9"/>
    <n v="14"/>
    <s v="CompuTech"/>
    <x v="24"/>
  </r>
  <r>
    <n v="1308"/>
    <n v="708"/>
    <s v="C300"/>
    <x v="156"/>
    <x v="0"/>
    <n v="4"/>
    <s v="Wearable Inc."/>
    <x v="0"/>
  </r>
  <r>
    <n v="1309"/>
    <n v="544"/>
    <s v="B200"/>
    <x v="136"/>
    <x v="4"/>
    <n v="1"/>
    <s v="SoundCo"/>
    <x v="7"/>
  </r>
  <r>
    <n v="1310"/>
    <n v="676"/>
    <s v="U2100"/>
    <x v="127"/>
    <x v="2"/>
    <n v="15"/>
    <s v="ChargePro"/>
    <x v="10"/>
  </r>
  <r>
    <n v="1311"/>
    <n v="532"/>
    <s v="D400"/>
    <x v="115"/>
    <x v="9"/>
    <n v="11"/>
    <s v="CompuTech"/>
    <x v="24"/>
  </r>
  <r>
    <n v="1312"/>
    <n v="533"/>
    <s v="Y2500"/>
    <x v="218"/>
    <x v="1"/>
    <n v="14"/>
    <s v="ClickTech"/>
    <x v="1"/>
  </r>
  <r>
    <n v="1313"/>
    <n v="697"/>
    <s v="G700"/>
    <x v="149"/>
    <x v="1"/>
    <n v="3"/>
    <s v="ClickTech"/>
    <x v="1"/>
  </r>
  <r>
    <n v="1314"/>
    <n v="702"/>
    <s v="N1400"/>
    <x v="219"/>
    <x v="5"/>
    <n v="5"/>
    <s v="FitTech"/>
    <x v="8"/>
  </r>
  <r>
    <n v="1315"/>
    <n v="680"/>
    <s v="F3200"/>
    <x v="73"/>
    <x v="4"/>
    <n v="20"/>
    <s v="DockIt"/>
    <x v="20"/>
  </r>
  <r>
    <n v="1316"/>
    <n v="710"/>
    <s v="C2900"/>
    <x v="220"/>
    <x v="9"/>
    <n v="20"/>
    <s v="SafeDrive"/>
    <x v="21"/>
  </r>
  <r>
    <n v="1317"/>
    <n v="580"/>
    <s v="H800"/>
    <x v="101"/>
    <x v="3"/>
    <n v="19"/>
    <s v="SoundWave"/>
    <x v="4"/>
  </r>
  <r>
    <n v="1318"/>
    <n v="543"/>
    <s v="D3000"/>
    <x v="1"/>
    <x v="9"/>
    <n v="9"/>
    <s v="SafeTech"/>
    <x v="23"/>
  </r>
  <r>
    <n v="1319"/>
    <n v="604"/>
    <s v="L1200"/>
    <x v="178"/>
    <x v="1"/>
    <n v="10"/>
    <s v="ClickTech"/>
    <x v="1"/>
  </r>
  <r>
    <n v="1320"/>
    <n v="533"/>
    <s v="V2200"/>
    <x v="221"/>
    <x v="3"/>
    <n v="9"/>
    <s v="ShutterPro"/>
    <x v="14"/>
  </r>
  <r>
    <n v="1321"/>
    <n v="542"/>
    <s v="L1200"/>
    <x v="222"/>
    <x v="1"/>
    <n v="14"/>
    <s v="ClickTech"/>
    <x v="1"/>
  </r>
  <r>
    <n v="1322"/>
    <n v="547"/>
    <s v="F3200"/>
    <x v="118"/>
    <x v="4"/>
    <n v="16"/>
    <s v="DockIt"/>
    <x v="20"/>
  </r>
  <r>
    <n v="1323"/>
    <n v="504"/>
    <s v="E3100"/>
    <x v="95"/>
    <x v="1"/>
    <n v="8"/>
    <s v="DisplayPro"/>
    <x v="6"/>
  </r>
  <r>
    <n v="1324"/>
    <n v="682"/>
    <s v="M1300"/>
    <x v="101"/>
    <x v="7"/>
    <n v="6"/>
    <s v="VRWorld"/>
    <x v="11"/>
  </r>
  <r>
    <n v="1325"/>
    <n v="650"/>
    <s v="H3400"/>
    <x v="26"/>
    <x v="7"/>
    <n v="6"/>
    <s v="VisionTech"/>
    <x v="15"/>
  </r>
  <r>
    <n v="1326"/>
    <n v="585"/>
    <s v="X2400"/>
    <x v="223"/>
    <x v="1"/>
    <n v="10"/>
    <s v="ClickTech"/>
    <x v="1"/>
  </r>
  <r>
    <n v="1327"/>
    <n v="679"/>
    <s v="I900"/>
    <x v="224"/>
    <x v="8"/>
    <n v="5"/>
    <s v="PlayMax"/>
    <x v="22"/>
  </r>
  <r>
    <n v="1328"/>
    <n v="525"/>
    <s v="G3300"/>
    <x v="48"/>
    <x v="2"/>
    <n v="15"/>
    <s v="PhotoFrame Inc."/>
    <x v="2"/>
  </r>
  <r>
    <n v="1329"/>
    <n v="680"/>
    <s v="M1300"/>
    <x v="225"/>
    <x v="7"/>
    <n v="16"/>
    <s v="VRWorld"/>
    <x v="11"/>
  </r>
  <r>
    <n v="1330"/>
    <n v="745"/>
    <s v="E500"/>
    <x v="204"/>
    <x v="4"/>
    <n v="12"/>
    <s v="TabletMakers"/>
    <x v="5"/>
  </r>
  <r>
    <n v="1331"/>
    <n v="521"/>
    <s v="F600"/>
    <x v="157"/>
    <x v="2"/>
    <n v="17"/>
    <s v="ChargePro"/>
    <x v="10"/>
  </r>
  <r>
    <n v="1332"/>
    <n v="643"/>
    <s v="J1000"/>
    <x v="226"/>
    <x v="7"/>
    <n v="11"/>
    <s v="VisionTech"/>
    <x v="15"/>
  </r>
  <r>
    <n v="1333"/>
    <n v="589"/>
    <s v="I900"/>
    <x v="144"/>
    <x v="8"/>
    <n v="14"/>
    <s v="PlayMax"/>
    <x v="22"/>
  </r>
  <r>
    <n v="1334"/>
    <n v="715"/>
    <s v="A2700"/>
    <x v="197"/>
    <x v="7"/>
    <n v="9"/>
    <s v="AeroTech"/>
    <x v="12"/>
  </r>
  <r>
    <n v="1335"/>
    <n v="620"/>
    <s v="B2800"/>
    <x v="68"/>
    <x v="5"/>
    <n v="6"/>
    <s v="BookTech"/>
    <x v="16"/>
  </r>
  <r>
    <n v="1336"/>
    <n v="722"/>
    <s v="M1300"/>
    <x v="227"/>
    <x v="7"/>
    <n v="4"/>
    <s v="VRWorld"/>
    <x v="11"/>
  </r>
  <r>
    <n v="1337"/>
    <n v="700"/>
    <s v="U2100"/>
    <x v="63"/>
    <x v="2"/>
    <n v="18"/>
    <s v="ChargePro"/>
    <x v="10"/>
  </r>
  <r>
    <n v="1338"/>
    <n v="729"/>
    <s v="O1500"/>
    <x v="90"/>
    <x v="2"/>
    <n v="8"/>
    <s v="StreamIt"/>
    <x v="13"/>
  </r>
  <r>
    <n v="1339"/>
    <n v="704"/>
    <s v="U2100"/>
    <x v="169"/>
    <x v="2"/>
    <n v="11"/>
    <s v="ChargePro"/>
    <x v="10"/>
  </r>
  <r>
    <n v="1340"/>
    <n v="608"/>
    <s v="D400"/>
    <x v="158"/>
    <x v="9"/>
    <n v="6"/>
    <s v="CompuTech"/>
    <x v="24"/>
  </r>
  <r>
    <n v="1341"/>
    <n v="696"/>
    <s v="C300"/>
    <x v="198"/>
    <x v="0"/>
    <n v="1"/>
    <s v="Wearable Inc."/>
    <x v="0"/>
  </r>
  <r>
    <n v="1342"/>
    <n v="701"/>
    <s v="X2400"/>
    <x v="183"/>
    <x v="1"/>
    <n v="12"/>
    <s v="ClickTech"/>
    <x v="1"/>
  </r>
  <r>
    <n v="1343"/>
    <n v="693"/>
    <s v="Z2600"/>
    <x v="228"/>
    <x v="4"/>
    <n v="6"/>
    <s v="SoundCo"/>
    <x v="7"/>
  </r>
  <r>
    <n v="1344"/>
    <n v="501"/>
    <s v="X2400"/>
    <x v="229"/>
    <x v="1"/>
    <n v="7"/>
    <s v="ClickTech"/>
    <x v="1"/>
  </r>
  <r>
    <n v="1345"/>
    <n v="507"/>
    <s v="T2000"/>
    <x v="230"/>
    <x v="6"/>
    <n v="6"/>
    <s v="BrightHome"/>
    <x v="9"/>
  </r>
  <r>
    <n v="1346"/>
    <n v="749"/>
    <s v="E500"/>
    <x v="147"/>
    <x v="4"/>
    <n v="17"/>
    <s v="TabletMakers"/>
    <x v="5"/>
  </r>
  <r>
    <n v="1347"/>
    <n v="635"/>
    <s v="L1200"/>
    <x v="156"/>
    <x v="1"/>
    <n v="12"/>
    <s v="ClickTech"/>
    <x v="1"/>
  </r>
  <r>
    <n v="1348"/>
    <n v="527"/>
    <s v="E3100"/>
    <x v="231"/>
    <x v="1"/>
    <n v="16"/>
    <s v="DisplayPro"/>
    <x v="6"/>
  </r>
  <r>
    <n v="1349"/>
    <n v="700"/>
    <s v="Y2500"/>
    <x v="125"/>
    <x v="1"/>
    <n v="19"/>
    <s v="ClickTech"/>
    <x v="1"/>
  </r>
  <r>
    <n v="1350"/>
    <n v="580"/>
    <s v="Y2500"/>
    <x v="232"/>
    <x v="1"/>
    <n v="14"/>
    <s v="ClickTech"/>
    <x v="1"/>
  </r>
  <r>
    <n v="1351"/>
    <n v="727"/>
    <s v="T2000"/>
    <x v="73"/>
    <x v="6"/>
    <n v="7"/>
    <s v="BrightHome"/>
    <x v="9"/>
  </r>
  <r>
    <n v="1352"/>
    <n v="616"/>
    <s v="B2800"/>
    <x v="185"/>
    <x v="5"/>
    <n v="18"/>
    <s v="BookTech"/>
    <x v="16"/>
  </r>
  <r>
    <n v="1353"/>
    <n v="738"/>
    <s v="F3200"/>
    <x v="233"/>
    <x v="4"/>
    <n v="19"/>
    <s v="DockIt"/>
    <x v="20"/>
  </r>
  <r>
    <n v="1354"/>
    <n v="572"/>
    <s v="I900"/>
    <x v="36"/>
    <x v="8"/>
    <n v="9"/>
    <s v="PlayMax"/>
    <x v="22"/>
  </r>
  <r>
    <n v="1355"/>
    <n v="508"/>
    <s v="J1000"/>
    <x v="103"/>
    <x v="7"/>
    <n v="11"/>
    <s v="VisionTech"/>
    <x v="15"/>
  </r>
  <r>
    <n v="1356"/>
    <n v="713"/>
    <s v="V2200"/>
    <x v="234"/>
    <x v="3"/>
    <n v="13"/>
    <s v="ShutterPro"/>
    <x v="14"/>
  </r>
  <r>
    <n v="1357"/>
    <n v="662"/>
    <s v="A2700"/>
    <x v="235"/>
    <x v="7"/>
    <n v="3"/>
    <s v="AeroTech"/>
    <x v="12"/>
  </r>
  <r>
    <n v="1358"/>
    <n v="677"/>
    <s v="M1300"/>
    <x v="236"/>
    <x v="7"/>
    <n v="16"/>
    <s v="VRWorld"/>
    <x v="11"/>
  </r>
  <r>
    <n v="1359"/>
    <n v="684"/>
    <s v="A2700"/>
    <x v="87"/>
    <x v="7"/>
    <n v="2"/>
    <s v="AeroTech"/>
    <x v="12"/>
  </r>
  <r>
    <n v="1360"/>
    <n v="728"/>
    <s v="C300"/>
    <x v="237"/>
    <x v="0"/>
    <n v="10"/>
    <s v="Wearable Inc."/>
    <x v="0"/>
  </r>
  <r>
    <n v="1361"/>
    <n v="539"/>
    <s v="Z2600"/>
    <x v="238"/>
    <x v="4"/>
    <n v="18"/>
    <s v="SoundCo"/>
    <x v="7"/>
  </r>
  <r>
    <n v="1362"/>
    <n v="684"/>
    <s v="K1100"/>
    <x v="114"/>
    <x v="6"/>
    <n v="7"/>
    <s v="DataSafe"/>
    <x v="18"/>
  </r>
  <r>
    <n v="1363"/>
    <n v="528"/>
    <s v="F600"/>
    <x v="239"/>
    <x v="2"/>
    <n v="19"/>
    <s v="ChargePro"/>
    <x v="10"/>
  </r>
  <r>
    <n v="1364"/>
    <n v="716"/>
    <s v="P1600"/>
    <x v="75"/>
    <x v="9"/>
    <n v="1"/>
    <s v="SafeTech"/>
    <x v="23"/>
  </r>
  <r>
    <n v="1365"/>
    <n v="596"/>
    <s v="M1300"/>
    <x v="110"/>
    <x v="7"/>
    <n v="17"/>
    <s v="VRWorld"/>
    <x v="11"/>
  </r>
  <r>
    <n v="1366"/>
    <n v="501"/>
    <s v="F3200"/>
    <x v="199"/>
    <x v="4"/>
    <n v="19"/>
    <s v="DockIt"/>
    <x v="20"/>
  </r>
  <r>
    <n v="1367"/>
    <n v="551"/>
    <s v="G700"/>
    <x v="238"/>
    <x v="1"/>
    <n v="6"/>
    <s v="ClickTech"/>
    <x v="1"/>
  </r>
  <r>
    <n v="1368"/>
    <n v="707"/>
    <s v="D3000"/>
    <x v="21"/>
    <x v="9"/>
    <n v="6"/>
    <s v="SafeTech"/>
    <x v="23"/>
  </r>
  <r>
    <n v="1369"/>
    <n v="637"/>
    <s v="U2100"/>
    <x v="126"/>
    <x v="2"/>
    <n v="5"/>
    <s v="ChargePro"/>
    <x v="10"/>
  </r>
  <r>
    <n v="1370"/>
    <n v="643"/>
    <s v="N1400"/>
    <x v="120"/>
    <x v="5"/>
    <n v="2"/>
    <s v="FitTech"/>
    <x v="8"/>
  </r>
  <r>
    <n v="1371"/>
    <n v="719"/>
    <s v="G3300"/>
    <x v="71"/>
    <x v="2"/>
    <n v="5"/>
    <s v="PhotoFrame Inc."/>
    <x v="2"/>
  </r>
  <r>
    <n v="1372"/>
    <n v="580"/>
    <s v="C2900"/>
    <x v="91"/>
    <x v="9"/>
    <n v="8"/>
    <s v="SafeDrive"/>
    <x v="21"/>
  </r>
  <r>
    <n v="1373"/>
    <n v="648"/>
    <s v="A2700"/>
    <x v="152"/>
    <x v="7"/>
    <n v="14"/>
    <s v="AeroTech"/>
    <x v="12"/>
  </r>
  <r>
    <n v="1374"/>
    <n v="706"/>
    <s v="Q1700"/>
    <x v="237"/>
    <x v="8"/>
    <n v="16"/>
    <s v="CleanBot"/>
    <x v="17"/>
  </r>
  <r>
    <n v="1375"/>
    <n v="574"/>
    <s v="B200"/>
    <x v="57"/>
    <x v="4"/>
    <n v="19"/>
    <s v="SoundCo"/>
    <x v="7"/>
  </r>
  <r>
    <n v="1376"/>
    <n v="748"/>
    <s v="A100"/>
    <x v="200"/>
    <x v="2"/>
    <n v="6"/>
    <s v="TechCorp"/>
    <x v="19"/>
  </r>
  <r>
    <n v="1377"/>
    <n v="644"/>
    <s v="R1800"/>
    <x v="109"/>
    <x v="3"/>
    <n v="20"/>
    <s v="SoundWave"/>
    <x v="4"/>
  </r>
  <r>
    <n v="1378"/>
    <n v="512"/>
    <s v="Q1700"/>
    <x v="27"/>
    <x v="8"/>
    <n v="16"/>
    <s v="CleanBot"/>
    <x v="17"/>
  </r>
  <r>
    <n v="1379"/>
    <n v="605"/>
    <s v="D3000"/>
    <x v="124"/>
    <x v="9"/>
    <n v="16"/>
    <s v="SafeTech"/>
    <x v="23"/>
  </r>
  <r>
    <n v="1380"/>
    <n v="658"/>
    <s v="U2100"/>
    <x v="240"/>
    <x v="2"/>
    <n v="11"/>
    <s v="ChargePro"/>
    <x v="10"/>
  </r>
  <r>
    <n v="1381"/>
    <n v="657"/>
    <s v="E3100"/>
    <x v="75"/>
    <x v="1"/>
    <n v="9"/>
    <s v="DisplayPro"/>
    <x v="6"/>
  </r>
  <r>
    <n v="1382"/>
    <n v="589"/>
    <s v="E3100"/>
    <x v="241"/>
    <x v="1"/>
    <n v="4"/>
    <s v="DisplayPro"/>
    <x v="6"/>
  </r>
  <r>
    <n v="1383"/>
    <n v="682"/>
    <s v="Q1700"/>
    <x v="242"/>
    <x v="8"/>
    <n v="8"/>
    <s v="CleanBot"/>
    <x v="17"/>
  </r>
  <r>
    <n v="1384"/>
    <n v="658"/>
    <s v="G3300"/>
    <x v="14"/>
    <x v="2"/>
    <n v="2"/>
    <s v="PhotoFrame Inc."/>
    <x v="2"/>
  </r>
  <r>
    <n v="1385"/>
    <n v="539"/>
    <s v="C2900"/>
    <x v="126"/>
    <x v="9"/>
    <n v="15"/>
    <s v="SafeDrive"/>
    <x v="21"/>
  </r>
  <r>
    <n v="1386"/>
    <n v="690"/>
    <s v="N1400"/>
    <x v="140"/>
    <x v="5"/>
    <n v="10"/>
    <s v="FitTech"/>
    <x v="8"/>
  </r>
  <r>
    <n v="1387"/>
    <n v="539"/>
    <s v="F3200"/>
    <x v="227"/>
    <x v="4"/>
    <n v="10"/>
    <s v="DockIt"/>
    <x v="20"/>
  </r>
  <r>
    <n v="1388"/>
    <n v="715"/>
    <s v="J1000"/>
    <x v="72"/>
    <x v="7"/>
    <n v="1"/>
    <s v="VisionTech"/>
    <x v="15"/>
  </r>
  <r>
    <n v="1389"/>
    <n v="681"/>
    <s v="D400"/>
    <x v="36"/>
    <x v="9"/>
    <n v="6"/>
    <s v="CompuTech"/>
    <x v="24"/>
  </r>
  <r>
    <n v="1390"/>
    <n v="659"/>
    <s v="H3400"/>
    <x v="22"/>
    <x v="7"/>
    <n v="8"/>
    <s v="VisionTech"/>
    <x v="15"/>
  </r>
  <r>
    <n v="1391"/>
    <n v="574"/>
    <s v="A2700"/>
    <x v="34"/>
    <x v="7"/>
    <n v="6"/>
    <s v="AeroTech"/>
    <x v="12"/>
  </r>
  <r>
    <n v="1392"/>
    <n v="596"/>
    <s v="U2100"/>
    <x v="70"/>
    <x v="2"/>
    <n v="12"/>
    <s v="ChargePro"/>
    <x v="10"/>
  </r>
  <r>
    <n v="1393"/>
    <n v="552"/>
    <s v="K1100"/>
    <x v="104"/>
    <x v="6"/>
    <n v="13"/>
    <s v="DataSafe"/>
    <x v="18"/>
  </r>
  <r>
    <n v="1394"/>
    <n v="533"/>
    <s v="U2100"/>
    <x v="224"/>
    <x v="2"/>
    <n v="20"/>
    <s v="ChargePro"/>
    <x v="10"/>
  </r>
  <r>
    <n v="1395"/>
    <n v="693"/>
    <s v="R1800"/>
    <x v="243"/>
    <x v="3"/>
    <n v="15"/>
    <s v="SoundWave"/>
    <x v="4"/>
  </r>
  <r>
    <n v="1396"/>
    <n v="678"/>
    <s v="N1400"/>
    <x v="205"/>
    <x v="5"/>
    <n v="18"/>
    <s v="FitTech"/>
    <x v="8"/>
  </r>
  <r>
    <n v="1397"/>
    <n v="655"/>
    <s v="N1400"/>
    <x v="244"/>
    <x v="5"/>
    <n v="20"/>
    <s v="FitTech"/>
    <x v="8"/>
  </r>
  <r>
    <n v="1398"/>
    <n v="710"/>
    <s v="E3100"/>
    <x v="245"/>
    <x v="1"/>
    <n v="15"/>
    <s v="DisplayPro"/>
    <x v="6"/>
  </r>
  <r>
    <n v="1399"/>
    <n v="721"/>
    <s v="B200"/>
    <x v="185"/>
    <x v="4"/>
    <n v="8"/>
    <s v="SoundCo"/>
    <x v="7"/>
  </r>
  <r>
    <n v="1400"/>
    <n v="697"/>
    <s v="E3100"/>
    <x v="31"/>
    <x v="1"/>
    <n v="2"/>
    <s v="DisplayPro"/>
    <x v="6"/>
  </r>
  <r>
    <n v="1401"/>
    <n v="648"/>
    <s v="D400"/>
    <x v="45"/>
    <x v="9"/>
    <n v="2"/>
    <s v="CompuTech"/>
    <x v="24"/>
  </r>
  <r>
    <n v="1402"/>
    <n v="633"/>
    <s v="A100"/>
    <x v="124"/>
    <x v="2"/>
    <n v="12"/>
    <s v="TechCorp"/>
    <x v="19"/>
  </r>
  <r>
    <n v="1403"/>
    <n v="677"/>
    <s v="C2900"/>
    <x v="246"/>
    <x v="9"/>
    <n v="6"/>
    <s v="SafeDrive"/>
    <x v="21"/>
  </r>
  <r>
    <n v="1404"/>
    <n v="587"/>
    <s v="H3400"/>
    <x v="155"/>
    <x v="7"/>
    <n v="13"/>
    <s v="VisionTech"/>
    <x v="15"/>
  </r>
  <r>
    <n v="1405"/>
    <n v="506"/>
    <s v="O1500"/>
    <x v="247"/>
    <x v="2"/>
    <n v="10"/>
    <s v="StreamIt"/>
    <x v="13"/>
  </r>
  <r>
    <n v="1406"/>
    <n v="556"/>
    <s v="E3100"/>
    <x v="166"/>
    <x v="1"/>
    <n v="16"/>
    <s v="DisplayPro"/>
    <x v="6"/>
  </r>
  <r>
    <n v="1407"/>
    <n v="614"/>
    <s v="Y2500"/>
    <x v="137"/>
    <x v="1"/>
    <n v="14"/>
    <s v="ClickTech"/>
    <x v="1"/>
  </r>
  <r>
    <n v="1408"/>
    <n v="679"/>
    <s v="G700"/>
    <x v="134"/>
    <x v="1"/>
    <n v="2"/>
    <s v="ClickTech"/>
    <x v="1"/>
  </r>
  <r>
    <n v="1409"/>
    <n v="588"/>
    <s v="D3000"/>
    <x v="45"/>
    <x v="9"/>
    <n v="16"/>
    <s v="SafeTech"/>
    <x v="23"/>
  </r>
  <r>
    <n v="1410"/>
    <n v="610"/>
    <s v="N1400"/>
    <x v="162"/>
    <x v="5"/>
    <n v="18"/>
    <s v="FitTech"/>
    <x v="8"/>
  </r>
  <r>
    <n v="1411"/>
    <n v="568"/>
    <s v="H800"/>
    <x v="185"/>
    <x v="3"/>
    <n v="10"/>
    <s v="SoundWave"/>
    <x v="4"/>
  </r>
  <r>
    <n v="1412"/>
    <n v="736"/>
    <s v="W2300"/>
    <x v="85"/>
    <x v="3"/>
    <n v="19"/>
    <s v="ShutterPro"/>
    <x v="14"/>
  </r>
  <r>
    <n v="1413"/>
    <n v="732"/>
    <s v="J1000"/>
    <x v="248"/>
    <x v="7"/>
    <n v="20"/>
    <s v="VisionTech"/>
    <x v="15"/>
  </r>
  <r>
    <n v="1414"/>
    <n v="628"/>
    <s v="A100"/>
    <x v="249"/>
    <x v="2"/>
    <n v="18"/>
    <s v="TechCorp"/>
    <x v="19"/>
  </r>
  <r>
    <n v="1415"/>
    <n v="636"/>
    <s v="E3100"/>
    <x v="67"/>
    <x v="1"/>
    <n v="7"/>
    <s v="DisplayPro"/>
    <x v="6"/>
  </r>
  <r>
    <n v="1416"/>
    <n v="695"/>
    <s v="U2100"/>
    <x v="166"/>
    <x v="2"/>
    <n v="8"/>
    <s v="ChargePro"/>
    <x v="10"/>
  </r>
  <r>
    <n v="1417"/>
    <n v="559"/>
    <s v="S1900"/>
    <x v="60"/>
    <x v="1"/>
    <n v="19"/>
    <s v="GPUForce"/>
    <x v="3"/>
  </r>
  <r>
    <n v="1418"/>
    <n v="663"/>
    <s v="H800"/>
    <x v="122"/>
    <x v="3"/>
    <n v="15"/>
    <s v="SoundWave"/>
    <x v="4"/>
  </r>
  <r>
    <n v="1419"/>
    <n v="671"/>
    <s v="G3300"/>
    <x v="131"/>
    <x v="2"/>
    <n v="8"/>
    <s v="PhotoFrame Inc."/>
    <x v="2"/>
  </r>
  <r>
    <n v="1420"/>
    <n v="702"/>
    <s v="N1400"/>
    <x v="250"/>
    <x v="5"/>
    <n v="19"/>
    <s v="FitTech"/>
    <x v="8"/>
  </r>
  <r>
    <n v="1421"/>
    <n v="537"/>
    <s v="Y2500"/>
    <x v="212"/>
    <x v="1"/>
    <n v="1"/>
    <s v="ClickTech"/>
    <x v="1"/>
  </r>
  <r>
    <n v="1422"/>
    <n v="646"/>
    <s v="D3000"/>
    <x v="28"/>
    <x v="9"/>
    <n v="16"/>
    <s v="SafeTech"/>
    <x v="23"/>
  </r>
  <r>
    <n v="1423"/>
    <n v="538"/>
    <s v="W2300"/>
    <x v="251"/>
    <x v="3"/>
    <n v="20"/>
    <s v="ShutterPro"/>
    <x v="14"/>
  </r>
  <r>
    <n v="1424"/>
    <n v="610"/>
    <s v="P1600"/>
    <x v="191"/>
    <x v="9"/>
    <n v="4"/>
    <s v="SafeTech"/>
    <x v="23"/>
  </r>
  <r>
    <n v="1425"/>
    <n v="583"/>
    <s v="O1500"/>
    <x v="19"/>
    <x v="2"/>
    <n v="9"/>
    <s v="StreamIt"/>
    <x v="13"/>
  </r>
  <r>
    <n v="1426"/>
    <n v="578"/>
    <s v="E500"/>
    <x v="133"/>
    <x v="4"/>
    <n v="5"/>
    <s v="TabletMakers"/>
    <x v="5"/>
  </r>
  <r>
    <n v="1427"/>
    <n v="562"/>
    <s v="G700"/>
    <x v="236"/>
    <x v="1"/>
    <n v="7"/>
    <s v="ClickTech"/>
    <x v="1"/>
  </r>
  <r>
    <n v="1428"/>
    <n v="574"/>
    <s v="D3000"/>
    <x v="25"/>
    <x v="9"/>
    <n v="6"/>
    <s v="SafeTech"/>
    <x v="23"/>
  </r>
  <r>
    <n v="1429"/>
    <n v="590"/>
    <s v="T2000"/>
    <x v="189"/>
    <x v="6"/>
    <n v="16"/>
    <s v="BrightHome"/>
    <x v="9"/>
  </r>
  <r>
    <n v="1430"/>
    <n v="683"/>
    <s v="B200"/>
    <x v="93"/>
    <x v="4"/>
    <n v="8"/>
    <s v="SoundCo"/>
    <x v="7"/>
  </r>
  <r>
    <n v="1431"/>
    <n v="629"/>
    <s v="E3100"/>
    <x v="252"/>
    <x v="1"/>
    <n v="1"/>
    <s v="DisplayPro"/>
    <x v="6"/>
  </r>
  <r>
    <n v="1432"/>
    <n v="563"/>
    <s v="Q1700"/>
    <x v="165"/>
    <x v="8"/>
    <n v="15"/>
    <s v="CleanBot"/>
    <x v="17"/>
  </r>
  <r>
    <n v="1433"/>
    <n v="505"/>
    <s v="E3100"/>
    <x v="69"/>
    <x v="1"/>
    <n v="19"/>
    <s v="DisplayPro"/>
    <x v="6"/>
  </r>
  <r>
    <n v="1434"/>
    <n v="673"/>
    <s v="S1900"/>
    <x v="53"/>
    <x v="1"/>
    <n v="17"/>
    <s v="GPUForce"/>
    <x v="3"/>
  </r>
  <r>
    <n v="1435"/>
    <n v="622"/>
    <s v="U2100"/>
    <x v="253"/>
    <x v="2"/>
    <n v="2"/>
    <s v="ChargePro"/>
    <x v="10"/>
  </r>
  <r>
    <n v="1436"/>
    <n v="537"/>
    <s v="C300"/>
    <x v="96"/>
    <x v="0"/>
    <n v="19"/>
    <s v="Wearable Inc."/>
    <x v="0"/>
  </r>
  <r>
    <n v="1437"/>
    <n v="544"/>
    <s v="F600"/>
    <x v="62"/>
    <x v="2"/>
    <n v="14"/>
    <s v="ChargePro"/>
    <x v="10"/>
  </r>
  <r>
    <n v="1438"/>
    <n v="635"/>
    <s v="J1000"/>
    <x v="254"/>
    <x v="7"/>
    <n v="15"/>
    <s v="VisionTech"/>
    <x v="15"/>
  </r>
  <r>
    <n v="1439"/>
    <n v="686"/>
    <s v="U2100"/>
    <x v="223"/>
    <x v="2"/>
    <n v="7"/>
    <s v="ChargePro"/>
    <x v="10"/>
  </r>
  <r>
    <n v="1440"/>
    <n v="677"/>
    <s v="E500"/>
    <x v="199"/>
    <x v="4"/>
    <n v="20"/>
    <s v="TabletMakers"/>
    <x v="5"/>
  </r>
  <r>
    <n v="1441"/>
    <n v="513"/>
    <s v="B2800"/>
    <x v="235"/>
    <x v="5"/>
    <n v="12"/>
    <s v="BookTech"/>
    <x v="16"/>
  </r>
  <r>
    <n v="1442"/>
    <n v="604"/>
    <s v="X2400"/>
    <x v="97"/>
    <x v="1"/>
    <n v="14"/>
    <s v="ClickTech"/>
    <x v="1"/>
  </r>
  <r>
    <n v="1443"/>
    <n v="700"/>
    <s v="R1800"/>
    <x v="255"/>
    <x v="3"/>
    <n v="1"/>
    <s v="SoundWave"/>
    <x v="4"/>
  </r>
  <r>
    <n v="1444"/>
    <n v="691"/>
    <s v="F600"/>
    <x v="99"/>
    <x v="2"/>
    <n v="15"/>
    <s v="ChargePro"/>
    <x v="10"/>
  </r>
  <r>
    <n v="1445"/>
    <n v="604"/>
    <s v="A100"/>
    <x v="256"/>
    <x v="2"/>
    <n v="9"/>
    <s v="TechCorp"/>
    <x v="19"/>
  </r>
  <r>
    <n v="1446"/>
    <n v="676"/>
    <s v="H3400"/>
    <x v="257"/>
    <x v="7"/>
    <n v="19"/>
    <s v="VisionTech"/>
    <x v="15"/>
  </r>
  <r>
    <n v="1447"/>
    <n v="597"/>
    <s v="Q1700"/>
    <x v="244"/>
    <x v="8"/>
    <n v="2"/>
    <s v="CleanBot"/>
    <x v="17"/>
  </r>
  <r>
    <n v="1448"/>
    <n v="578"/>
    <s v="H800"/>
    <x v="258"/>
    <x v="3"/>
    <n v="16"/>
    <s v="SoundWave"/>
    <x v="4"/>
  </r>
  <r>
    <n v="1449"/>
    <n v="674"/>
    <s v="B200"/>
    <x v="100"/>
    <x v="4"/>
    <n v="16"/>
    <s v="SoundCo"/>
    <x v="7"/>
  </r>
  <r>
    <n v="1450"/>
    <n v="701"/>
    <s v="O1500"/>
    <x v="75"/>
    <x v="2"/>
    <n v="9"/>
    <s v="StreamIt"/>
    <x v="13"/>
  </r>
  <r>
    <n v="1451"/>
    <n v="568"/>
    <s v="C2900"/>
    <x v="158"/>
    <x v="9"/>
    <n v="4"/>
    <s v="SafeDrive"/>
    <x v="21"/>
  </r>
  <r>
    <n v="1452"/>
    <n v="750"/>
    <s v="N1400"/>
    <x v="259"/>
    <x v="5"/>
    <n v="10"/>
    <s v="FitTech"/>
    <x v="8"/>
  </r>
  <r>
    <n v="1453"/>
    <n v="511"/>
    <s v="M1300"/>
    <x v="260"/>
    <x v="7"/>
    <n v="2"/>
    <s v="VRWorld"/>
    <x v="11"/>
  </r>
  <r>
    <n v="1454"/>
    <n v="544"/>
    <s v="K1100"/>
    <x v="142"/>
    <x v="6"/>
    <n v="10"/>
    <s v="DataSafe"/>
    <x v="18"/>
  </r>
  <r>
    <n v="1455"/>
    <n v="522"/>
    <s v="C2900"/>
    <x v="92"/>
    <x v="9"/>
    <n v="12"/>
    <s v="SafeDrive"/>
    <x v="21"/>
  </r>
  <r>
    <n v="1456"/>
    <n v="622"/>
    <s v="S1900"/>
    <x v="261"/>
    <x v="1"/>
    <n v="19"/>
    <s v="GPUForce"/>
    <x v="3"/>
  </r>
  <r>
    <n v="1457"/>
    <n v="673"/>
    <s v="Z2600"/>
    <x v="213"/>
    <x v="4"/>
    <n v="8"/>
    <s v="SoundCo"/>
    <x v="7"/>
  </r>
  <r>
    <n v="1458"/>
    <n v="706"/>
    <s v="Y2500"/>
    <x v="262"/>
    <x v="1"/>
    <n v="3"/>
    <s v="ClickTech"/>
    <x v="1"/>
  </r>
  <r>
    <n v="1459"/>
    <n v="626"/>
    <s v="D3000"/>
    <x v="127"/>
    <x v="9"/>
    <n v="8"/>
    <s v="SafeTech"/>
    <x v="23"/>
  </r>
  <r>
    <n v="1460"/>
    <n v="727"/>
    <s v="X2400"/>
    <x v="111"/>
    <x v="1"/>
    <n v="20"/>
    <s v="ClickTech"/>
    <x v="1"/>
  </r>
  <r>
    <n v="1461"/>
    <n v="608"/>
    <s v="K1100"/>
    <x v="132"/>
    <x v="6"/>
    <n v="16"/>
    <s v="DataSafe"/>
    <x v="18"/>
  </r>
  <r>
    <n v="1462"/>
    <n v="562"/>
    <s v="D400"/>
    <x v="263"/>
    <x v="9"/>
    <n v="10"/>
    <s v="CompuTech"/>
    <x v="24"/>
  </r>
  <r>
    <n v="1463"/>
    <n v="546"/>
    <s v="L1200"/>
    <x v="124"/>
    <x v="1"/>
    <n v="13"/>
    <s v="ClickTech"/>
    <x v="1"/>
  </r>
  <r>
    <n v="1464"/>
    <n v="531"/>
    <s v="A100"/>
    <x v="264"/>
    <x v="2"/>
    <n v="7"/>
    <s v="TechCorp"/>
    <x v="19"/>
  </r>
  <r>
    <n v="1465"/>
    <n v="705"/>
    <s v="E500"/>
    <x v="144"/>
    <x v="4"/>
    <n v="6"/>
    <s v="TabletMakers"/>
    <x v="5"/>
  </r>
  <r>
    <n v="1466"/>
    <n v="504"/>
    <s v="Y2500"/>
    <x v="254"/>
    <x v="1"/>
    <n v="20"/>
    <s v="ClickTech"/>
    <x v="1"/>
  </r>
  <r>
    <n v="1467"/>
    <n v="546"/>
    <s v="O1500"/>
    <x v="265"/>
    <x v="2"/>
    <n v="19"/>
    <s v="StreamIt"/>
    <x v="13"/>
  </r>
  <r>
    <n v="1468"/>
    <n v="513"/>
    <s v="H800"/>
    <x v="94"/>
    <x v="3"/>
    <n v="2"/>
    <s v="SoundWave"/>
    <x v="4"/>
  </r>
  <r>
    <n v="1469"/>
    <n v="716"/>
    <s v="E3100"/>
    <x v="69"/>
    <x v="1"/>
    <n v="12"/>
    <s v="DisplayPro"/>
    <x v="6"/>
  </r>
  <r>
    <n v="1470"/>
    <n v="713"/>
    <s v="N1400"/>
    <x v="32"/>
    <x v="5"/>
    <n v="6"/>
    <s v="FitTech"/>
    <x v="8"/>
  </r>
  <r>
    <n v="1471"/>
    <n v="509"/>
    <s v="C2900"/>
    <x v="181"/>
    <x v="9"/>
    <n v="13"/>
    <s v="SafeDrive"/>
    <x v="21"/>
  </r>
  <r>
    <n v="1472"/>
    <n v="708"/>
    <s v="O1500"/>
    <x v="266"/>
    <x v="2"/>
    <n v="15"/>
    <s v="StreamIt"/>
    <x v="13"/>
  </r>
  <r>
    <n v="1473"/>
    <n v="527"/>
    <s v="G3300"/>
    <x v="68"/>
    <x v="2"/>
    <n v="3"/>
    <s v="PhotoFrame Inc."/>
    <x v="2"/>
  </r>
  <r>
    <n v="1474"/>
    <n v="744"/>
    <s v="B200"/>
    <x v="267"/>
    <x v="4"/>
    <n v="1"/>
    <s v="SoundCo"/>
    <x v="7"/>
  </r>
  <r>
    <n v="1475"/>
    <n v="573"/>
    <s v="T2000"/>
    <x v="151"/>
    <x v="6"/>
    <n v="4"/>
    <s v="BrightHome"/>
    <x v="9"/>
  </r>
  <r>
    <n v="1476"/>
    <n v="603"/>
    <s v="I900"/>
    <x v="268"/>
    <x v="8"/>
    <n v="18"/>
    <s v="PlayMax"/>
    <x v="22"/>
  </r>
  <r>
    <n v="1477"/>
    <n v="562"/>
    <s v="B2800"/>
    <x v="204"/>
    <x v="5"/>
    <n v="17"/>
    <s v="BookTech"/>
    <x v="16"/>
  </r>
  <r>
    <n v="1478"/>
    <n v="706"/>
    <s v="X2400"/>
    <x v="156"/>
    <x v="1"/>
    <n v="6"/>
    <s v="ClickTech"/>
    <x v="1"/>
  </r>
  <r>
    <n v="1479"/>
    <n v="610"/>
    <s v="N1400"/>
    <x v="194"/>
    <x v="5"/>
    <n v="2"/>
    <s v="FitTech"/>
    <x v="8"/>
  </r>
  <r>
    <n v="1480"/>
    <n v="599"/>
    <s v="E500"/>
    <x v="230"/>
    <x v="4"/>
    <n v="13"/>
    <s v="TabletMakers"/>
    <x v="5"/>
  </r>
  <r>
    <n v="1481"/>
    <n v="721"/>
    <s v="E3100"/>
    <x v="237"/>
    <x v="1"/>
    <n v="16"/>
    <s v="DisplayPro"/>
    <x v="6"/>
  </r>
  <r>
    <n v="1482"/>
    <n v="660"/>
    <s v="F600"/>
    <x v="264"/>
    <x v="2"/>
    <n v="3"/>
    <s v="ChargePro"/>
    <x v="10"/>
  </r>
  <r>
    <n v="1483"/>
    <n v="508"/>
    <s v="B200"/>
    <x v="269"/>
    <x v="4"/>
    <n v="4"/>
    <s v="SoundCo"/>
    <x v="7"/>
  </r>
  <r>
    <n v="1484"/>
    <n v="653"/>
    <s v="R1800"/>
    <x v="211"/>
    <x v="3"/>
    <n v="3"/>
    <s v="SoundWave"/>
    <x v="4"/>
  </r>
  <r>
    <n v="1485"/>
    <n v="602"/>
    <s v="E500"/>
    <x v="260"/>
    <x v="4"/>
    <n v="4"/>
    <s v="TabletMakers"/>
    <x v="5"/>
  </r>
  <r>
    <n v="1486"/>
    <n v="568"/>
    <s v="O1500"/>
    <x v="45"/>
    <x v="2"/>
    <n v="3"/>
    <s v="StreamIt"/>
    <x v="13"/>
  </r>
  <r>
    <n v="1487"/>
    <n v="726"/>
    <s v="W2300"/>
    <x v="2"/>
    <x v="3"/>
    <n v="12"/>
    <s v="ShutterPro"/>
    <x v="14"/>
  </r>
  <r>
    <n v="1488"/>
    <n v="509"/>
    <s v="W2300"/>
    <x v="270"/>
    <x v="3"/>
    <n v="12"/>
    <s v="ShutterPro"/>
    <x v="14"/>
  </r>
  <r>
    <n v="1489"/>
    <n v="626"/>
    <s v="G3300"/>
    <x v="7"/>
    <x v="2"/>
    <n v="15"/>
    <s v="PhotoFrame Inc."/>
    <x v="2"/>
  </r>
  <r>
    <n v="1490"/>
    <n v="506"/>
    <s v="U2100"/>
    <x v="174"/>
    <x v="2"/>
    <n v="2"/>
    <s v="ChargePro"/>
    <x v="10"/>
  </r>
  <r>
    <n v="1491"/>
    <n v="569"/>
    <s v="X2400"/>
    <x v="271"/>
    <x v="1"/>
    <n v="13"/>
    <s v="ClickTech"/>
    <x v="1"/>
  </r>
  <r>
    <n v="1492"/>
    <n v="711"/>
    <s v="T2000"/>
    <x v="46"/>
    <x v="6"/>
    <n v="5"/>
    <s v="BrightHome"/>
    <x v="9"/>
  </r>
  <r>
    <n v="1493"/>
    <n v="724"/>
    <s v="I900"/>
    <x v="272"/>
    <x v="8"/>
    <n v="19"/>
    <s v="PlayMax"/>
    <x v="22"/>
  </r>
  <r>
    <n v="1494"/>
    <n v="583"/>
    <s v="B200"/>
    <x v="136"/>
    <x v="4"/>
    <n v="2"/>
    <s v="SoundCo"/>
    <x v="7"/>
  </r>
  <r>
    <n v="1495"/>
    <n v="642"/>
    <s v="L1200"/>
    <x v="11"/>
    <x v="1"/>
    <n v="20"/>
    <s v="ClickTech"/>
    <x v="1"/>
  </r>
  <r>
    <n v="1496"/>
    <n v="654"/>
    <s v="Y2500"/>
    <x v="79"/>
    <x v="1"/>
    <n v="9"/>
    <s v="ClickTech"/>
    <x v="1"/>
  </r>
  <r>
    <n v="1497"/>
    <n v="741"/>
    <s v="F600"/>
    <x v="231"/>
    <x v="2"/>
    <n v="16"/>
    <s v="ChargePro"/>
    <x v="10"/>
  </r>
  <r>
    <n v="1498"/>
    <n v="530"/>
    <s v="I900"/>
    <x v="9"/>
    <x v="8"/>
    <n v="18"/>
    <s v="PlayMax"/>
    <x v="22"/>
  </r>
  <r>
    <n v="1499"/>
    <n v="599"/>
    <s v="X2400"/>
    <x v="273"/>
    <x v="1"/>
    <n v="20"/>
    <s v="ClickTech"/>
    <x v="1"/>
  </r>
  <r>
    <n v="1500"/>
    <n v="562"/>
    <s v="H800"/>
    <x v="274"/>
    <x v="3"/>
    <n v="16"/>
    <s v="SoundWave"/>
    <x v="4"/>
  </r>
  <r>
    <n v="1501"/>
    <n v="634"/>
    <s v="U2100"/>
    <x v="275"/>
    <x v="2"/>
    <n v="20"/>
    <s v="ChargePro"/>
    <x v="10"/>
  </r>
  <r>
    <n v="1502"/>
    <n v="554"/>
    <s v="B200"/>
    <x v="5"/>
    <x v="4"/>
    <n v="13"/>
    <s v="SoundCo"/>
    <x v="7"/>
  </r>
  <r>
    <n v="1503"/>
    <n v="649"/>
    <s v="U2100"/>
    <x v="53"/>
    <x v="2"/>
    <n v="12"/>
    <s v="ChargePro"/>
    <x v="10"/>
  </r>
  <r>
    <n v="1504"/>
    <n v="567"/>
    <s v="X2400"/>
    <x v="146"/>
    <x v="1"/>
    <n v="5"/>
    <s v="ClickTech"/>
    <x v="1"/>
  </r>
  <r>
    <n v="1505"/>
    <n v="634"/>
    <s v="E500"/>
    <x v="192"/>
    <x v="4"/>
    <n v="3"/>
    <s v="TabletMakers"/>
    <x v="5"/>
  </r>
  <r>
    <n v="1506"/>
    <n v="668"/>
    <s v="Y2500"/>
    <x v="276"/>
    <x v="1"/>
    <n v="18"/>
    <s v="ClickTech"/>
    <x v="1"/>
  </r>
  <r>
    <n v="1507"/>
    <n v="627"/>
    <s v="R1800"/>
    <x v="277"/>
    <x v="3"/>
    <n v="11"/>
    <s v="SoundWave"/>
    <x v="4"/>
  </r>
  <r>
    <n v="1508"/>
    <n v="518"/>
    <s v="G3300"/>
    <x v="242"/>
    <x v="2"/>
    <n v="14"/>
    <s v="PhotoFrame Inc."/>
    <x v="2"/>
  </r>
  <r>
    <n v="1509"/>
    <n v="514"/>
    <s v="S1900"/>
    <x v="140"/>
    <x v="1"/>
    <n v="10"/>
    <s v="GPUForce"/>
    <x v="3"/>
  </r>
  <r>
    <n v="1510"/>
    <n v="593"/>
    <s v="G3300"/>
    <x v="50"/>
    <x v="2"/>
    <n v="9"/>
    <s v="PhotoFrame Inc."/>
    <x v="2"/>
  </r>
  <r>
    <n v="1511"/>
    <n v="687"/>
    <s v="A2700"/>
    <x v="74"/>
    <x v="7"/>
    <n v="2"/>
    <s v="AeroTech"/>
    <x v="12"/>
  </r>
  <r>
    <n v="1512"/>
    <n v="585"/>
    <s v="E500"/>
    <x v="278"/>
    <x v="4"/>
    <n v="3"/>
    <s v="TabletMakers"/>
    <x v="5"/>
  </r>
  <r>
    <n v="1513"/>
    <n v="603"/>
    <s v="S1900"/>
    <x v="279"/>
    <x v="1"/>
    <n v="5"/>
    <s v="GPUForce"/>
    <x v="3"/>
  </r>
  <r>
    <n v="1514"/>
    <n v="517"/>
    <s v="W2300"/>
    <x v="280"/>
    <x v="3"/>
    <n v="4"/>
    <s v="ShutterPro"/>
    <x v="14"/>
  </r>
  <r>
    <n v="1515"/>
    <n v="618"/>
    <s v="K1100"/>
    <x v="135"/>
    <x v="6"/>
    <n v="12"/>
    <s v="DataSafe"/>
    <x v="18"/>
  </r>
  <r>
    <n v="1516"/>
    <n v="607"/>
    <s v="E3100"/>
    <x v="221"/>
    <x v="1"/>
    <n v="15"/>
    <s v="DisplayPro"/>
    <x v="6"/>
  </r>
  <r>
    <n v="1517"/>
    <n v="526"/>
    <s v="R1800"/>
    <x v="93"/>
    <x v="3"/>
    <n v="19"/>
    <s v="SoundWave"/>
    <x v="4"/>
  </r>
  <r>
    <n v="1518"/>
    <n v="692"/>
    <s v="E500"/>
    <x v="163"/>
    <x v="4"/>
    <n v="12"/>
    <s v="TabletMakers"/>
    <x v="5"/>
  </r>
  <r>
    <n v="1519"/>
    <n v="555"/>
    <s v="U2100"/>
    <x v="173"/>
    <x v="2"/>
    <n v="15"/>
    <s v="ChargePro"/>
    <x v="10"/>
  </r>
  <r>
    <n v="1520"/>
    <n v="591"/>
    <s v="J1000"/>
    <x v="169"/>
    <x v="7"/>
    <n v="7"/>
    <s v="VisionTech"/>
    <x v="15"/>
  </r>
  <r>
    <n v="1521"/>
    <n v="705"/>
    <s v="H800"/>
    <x v="281"/>
    <x v="3"/>
    <n v="10"/>
    <s v="SoundWave"/>
    <x v="4"/>
  </r>
  <r>
    <n v="1522"/>
    <n v="674"/>
    <s v="M1300"/>
    <x v="58"/>
    <x v="7"/>
    <n v="13"/>
    <s v="VRWorld"/>
    <x v="11"/>
  </r>
  <r>
    <n v="1523"/>
    <n v="680"/>
    <s v="O1500"/>
    <x v="48"/>
    <x v="2"/>
    <n v="6"/>
    <s v="StreamIt"/>
    <x v="13"/>
  </r>
  <r>
    <n v="1524"/>
    <n v="709"/>
    <s v="I900"/>
    <x v="281"/>
    <x v="8"/>
    <n v="7"/>
    <s v="PlayMax"/>
    <x v="22"/>
  </r>
  <r>
    <n v="1525"/>
    <n v="659"/>
    <s v="E3100"/>
    <x v="185"/>
    <x v="1"/>
    <n v="14"/>
    <s v="DisplayPro"/>
    <x v="6"/>
  </r>
  <r>
    <n v="1526"/>
    <n v="652"/>
    <s v="M1300"/>
    <x v="46"/>
    <x v="7"/>
    <n v="17"/>
    <s v="VRWorld"/>
    <x v="11"/>
  </r>
  <r>
    <n v="1527"/>
    <n v="702"/>
    <s v="G3300"/>
    <x v="112"/>
    <x v="2"/>
    <n v="11"/>
    <s v="PhotoFrame Inc."/>
    <x v="2"/>
  </r>
  <r>
    <n v="1528"/>
    <n v="533"/>
    <s v="Y2500"/>
    <x v="172"/>
    <x v="1"/>
    <n v="2"/>
    <s v="ClickTech"/>
    <x v="1"/>
  </r>
  <r>
    <n v="1529"/>
    <n v="589"/>
    <s v="F600"/>
    <x v="60"/>
    <x v="2"/>
    <n v="1"/>
    <s v="ChargePro"/>
    <x v="10"/>
  </r>
  <r>
    <n v="1530"/>
    <n v="632"/>
    <s v="C300"/>
    <x v="59"/>
    <x v="0"/>
    <n v="15"/>
    <s v="Wearable Inc."/>
    <x v="0"/>
  </r>
  <r>
    <n v="1531"/>
    <n v="536"/>
    <s v="M1300"/>
    <x v="232"/>
    <x v="7"/>
    <n v="15"/>
    <s v="VRWorld"/>
    <x v="11"/>
  </r>
  <r>
    <n v="1532"/>
    <n v="708"/>
    <s v="H800"/>
    <x v="185"/>
    <x v="3"/>
    <n v="16"/>
    <s v="SoundWave"/>
    <x v="4"/>
  </r>
  <r>
    <n v="1533"/>
    <n v="653"/>
    <s v="B200"/>
    <x v="84"/>
    <x v="4"/>
    <n v="6"/>
    <s v="SoundCo"/>
    <x v="7"/>
  </r>
  <r>
    <n v="1534"/>
    <n v="620"/>
    <s v="D3000"/>
    <x v="282"/>
    <x v="9"/>
    <n v="15"/>
    <s v="SafeTech"/>
    <x v="23"/>
  </r>
  <r>
    <n v="1535"/>
    <n v="598"/>
    <s v="B2800"/>
    <x v="283"/>
    <x v="5"/>
    <n v="7"/>
    <s v="BookTech"/>
    <x v="16"/>
  </r>
  <r>
    <n v="1536"/>
    <n v="589"/>
    <s v="N1400"/>
    <x v="277"/>
    <x v="5"/>
    <n v="4"/>
    <s v="FitTech"/>
    <x v="8"/>
  </r>
  <r>
    <n v="1537"/>
    <n v="505"/>
    <s v="Q1700"/>
    <x v="114"/>
    <x v="8"/>
    <n v="14"/>
    <s v="CleanBot"/>
    <x v="17"/>
  </r>
  <r>
    <n v="1538"/>
    <n v="623"/>
    <s v="J1000"/>
    <x v="216"/>
    <x v="7"/>
    <n v="9"/>
    <s v="VisionTech"/>
    <x v="15"/>
  </r>
  <r>
    <n v="1539"/>
    <n v="587"/>
    <s v="D3000"/>
    <x v="284"/>
    <x v="9"/>
    <n v="19"/>
    <s v="SafeTech"/>
    <x v="23"/>
  </r>
  <r>
    <n v="1540"/>
    <n v="524"/>
    <s v="U2100"/>
    <x v="285"/>
    <x v="2"/>
    <n v="3"/>
    <s v="ChargePro"/>
    <x v="10"/>
  </r>
  <r>
    <n v="1541"/>
    <n v="694"/>
    <s v="H3400"/>
    <x v="286"/>
    <x v="7"/>
    <n v="17"/>
    <s v="VisionTech"/>
    <x v="15"/>
  </r>
  <r>
    <n v="1542"/>
    <n v="660"/>
    <s v="E500"/>
    <x v="54"/>
    <x v="4"/>
    <n v="13"/>
    <s v="TabletMakers"/>
    <x v="5"/>
  </r>
  <r>
    <n v="1543"/>
    <n v="551"/>
    <s v="A2700"/>
    <x v="21"/>
    <x v="7"/>
    <n v="10"/>
    <s v="AeroTech"/>
    <x v="12"/>
  </r>
  <r>
    <n v="1544"/>
    <n v="509"/>
    <s v="N1400"/>
    <x v="2"/>
    <x v="5"/>
    <n v="10"/>
    <s v="FitTech"/>
    <x v="8"/>
  </r>
  <r>
    <n v="1545"/>
    <n v="690"/>
    <s v="A100"/>
    <x v="137"/>
    <x v="2"/>
    <n v="14"/>
    <s v="TechCorp"/>
    <x v="19"/>
  </r>
  <r>
    <n v="1546"/>
    <n v="509"/>
    <s v="D400"/>
    <x v="287"/>
    <x v="9"/>
    <n v="14"/>
    <s v="CompuTech"/>
    <x v="24"/>
  </r>
  <r>
    <n v="1547"/>
    <n v="749"/>
    <s v="O1500"/>
    <x v="288"/>
    <x v="2"/>
    <n v="13"/>
    <s v="StreamIt"/>
    <x v="13"/>
  </r>
  <r>
    <n v="1548"/>
    <n v="669"/>
    <s v="H800"/>
    <x v="163"/>
    <x v="3"/>
    <n v="11"/>
    <s v="SoundWave"/>
    <x v="4"/>
  </r>
  <r>
    <n v="1549"/>
    <n v="730"/>
    <s v="H800"/>
    <x v="289"/>
    <x v="3"/>
    <n v="10"/>
    <s v="SoundWave"/>
    <x v="4"/>
  </r>
  <r>
    <n v="1550"/>
    <n v="589"/>
    <s v="R1800"/>
    <x v="290"/>
    <x v="3"/>
    <n v="17"/>
    <s v="SoundWave"/>
    <x v="4"/>
  </r>
  <r>
    <n v="1551"/>
    <n v="507"/>
    <s v="M1300"/>
    <x v="65"/>
    <x v="7"/>
    <n v="15"/>
    <s v="VRWorld"/>
    <x v="11"/>
  </r>
  <r>
    <n v="1552"/>
    <n v="581"/>
    <s v="C300"/>
    <x v="264"/>
    <x v="0"/>
    <n v="10"/>
    <s v="Wearable Inc."/>
    <x v="0"/>
  </r>
  <r>
    <n v="1553"/>
    <n v="569"/>
    <s v="M1300"/>
    <x v="163"/>
    <x v="7"/>
    <n v="20"/>
    <s v="VRWorld"/>
    <x v="11"/>
  </r>
  <r>
    <n v="1554"/>
    <n v="567"/>
    <s v="N1400"/>
    <x v="209"/>
    <x v="5"/>
    <n v="13"/>
    <s v="FitTech"/>
    <x v="8"/>
  </r>
  <r>
    <n v="1555"/>
    <n v="589"/>
    <s v="S1900"/>
    <x v="43"/>
    <x v="1"/>
    <n v="1"/>
    <s v="GPUForce"/>
    <x v="3"/>
  </r>
  <r>
    <n v="1556"/>
    <n v="637"/>
    <s v="Y2500"/>
    <x v="65"/>
    <x v="1"/>
    <n v="2"/>
    <s v="ClickTech"/>
    <x v="1"/>
  </r>
  <r>
    <n v="1557"/>
    <n v="564"/>
    <s v="D3000"/>
    <x v="291"/>
    <x v="9"/>
    <n v="17"/>
    <s v="SafeTech"/>
    <x v="23"/>
  </r>
  <r>
    <n v="1558"/>
    <n v="577"/>
    <s v="C300"/>
    <x v="90"/>
    <x v="0"/>
    <n v="13"/>
    <s v="Wearable Inc."/>
    <x v="0"/>
  </r>
  <r>
    <n v="1559"/>
    <n v="672"/>
    <s v="W2300"/>
    <x v="272"/>
    <x v="3"/>
    <n v="16"/>
    <s v="ShutterPro"/>
    <x v="14"/>
  </r>
  <r>
    <n v="1560"/>
    <n v="636"/>
    <s v="M1300"/>
    <x v="137"/>
    <x v="7"/>
    <n v="14"/>
    <s v="VRWorld"/>
    <x v="11"/>
  </r>
  <r>
    <n v="1561"/>
    <n v="527"/>
    <s v="Z2600"/>
    <x v="268"/>
    <x v="4"/>
    <n v="5"/>
    <s v="SoundCo"/>
    <x v="7"/>
  </r>
  <r>
    <n v="1562"/>
    <n v="560"/>
    <s v="V2200"/>
    <x v="292"/>
    <x v="3"/>
    <n v="13"/>
    <s v="ShutterPro"/>
    <x v="14"/>
  </r>
  <r>
    <n v="1563"/>
    <n v="734"/>
    <s v="L1200"/>
    <x v="10"/>
    <x v="1"/>
    <n v="18"/>
    <s v="ClickTech"/>
    <x v="1"/>
  </r>
  <r>
    <n v="1564"/>
    <n v="744"/>
    <s v="B2800"/>
    <x v="116"/>
    <x v="5"/>
    <n v="16"/>
    <s v="BookTech"/>
    <x v="16"/>
  </r>
  <r>
    <n v="1565"/>
    <n v="610"/>
    <s v="D3000"/>
    <x v="249"/>
    <x v="9"/>
    <n v="19"/>
    <s v="SafeTech"/>
    <x v="23"/>
  </r>
  <r>
    <n v="1566"/>
    <n v="661"/>
    <s v="F600"/>
    <x v="139"/>
    <x v="2"/>
    <n v="1"/>
    <s v="ChargePro"/>
    <x v="10"/>
  </r>
  <r>
    <n v="1567"/>
    <n v="633"/>
    <s v="Y2500"/>
    <x v="293"/>
    <x v="1"/>
    <n v="11"/>
    <s v="ClickTech"/>
    <x v="1"/>
  </r>
  <r>
    <n v="1568"/>
    <n v="677"/>
    <s v="Q1700"/>
    <x v="294"/>
    <x v="8"/>
    <n v="1"/>
    <s v="CleanBot"/>
    <x v="17"/>
  </r>
  <r>
    <n v="1569"/>
    <n v="550"/>
    <s v="B200"/>
    <x v="58"/>
    <x v="4"/>
    <n v="9"/>
    <s v="SoundCo"/>
    <x v="7"/>
  </r>
  <r>
    <n v="1570"/>
    <n v="689"/>
    <s v="N1400"/>
    <x v="72"/>
    <x v="5"/>
    <n v="5"/>
    <s v="FitTech"/>
    <x v="8"/>
  </r>
  <r>
    <n v="1571"/>
    <n v="682"/>
    <s v="J1000"/>
    <x v="295"/>
    <x v="7"/>
    <n v="14"/>
    <s v="VisionTech"/>
    <x v="15"/>
  </r>
  <r>
    <n v="1572"/>
    <n v="657"/>
    <s v="F3200"/>
    <x v="296"/>
    <x v="4"/>
    <n v="18"/>
    <s v="DockIt"/>
    <x v="20"/>
  </r>
  <r>
    <n v="1573"/>
    <n v="711"/>
    <s v="J1000"/>
    <x v="72"/>
    <x v="7"/>
    <n v="16"/>
    <s v="VisionTech"/>
    <x v="15"/>
  </r>
  <r>
    <n v="1574"/>
    <n v="555"/>
    <s v="A100"/>
    <x v="210"/>
    <x v="2"/>
    <n v="3"/>
    <s v="TechCorp"/>
    <x v="19"/>
  </r>
  <r>
    <n v="1575"/>
    <n v="663"/>
    <s v="J1000"/>
    <x v="85"/>
    <x v="7"/>
    <n v="9"/>
    <s v="VisionTech"/>
    <x v="15"/>
  </r>
  <r>
    <n v="1576"/>
    <n v="527"/>
    <s v="M1300"/>
    <x v="117"/>
    <x v="7"/>
    <n v="11"/>
    <s v="VRWorld"/>
    <x v="11"/>
  </r>
  <r>
    <n v="1577"/>
    <n v="694"/>
    <s v="K1100"/>
    <x v="173"/>
    <x v="6"/>
    <n v="15"/>
    <s v="DataSafe"/>
    <x v="18"/>
  </r>
  <r>
    <n v="1578"/>
    <n v="671"/>
    <s v="Z2600"/>
    <x v="188"/>
    <x v="4"/>
    <n v="8"/>
    <s v="SoundCo"/>
    <x v="7"/>
  </r>
  <r>
    <n v="1579"/>
    <n v="683"/>
    <s v="C300"/>
    <x v="171"/>
    <x v="0"/>
    <n v="20"/>
    <s v="Wearable Inc."/>
    <x v="0"/>
  </r>
  <r>
    <n v="1580"/>
    <n v="728"/>
    <s v="F600"/>
    <x v="297"/>
    <x v="2"/>
    <n v="7"/>
    <s v="ChargePro"/>
    <x v="10"/>
  </r>
  <r>
    <n v="1581"/>
    <n v="504"/>
    <s v="T2000"/>
    <x v="216"/>
    <x v="6"/>
    <n v="18"/>
    <s v="BrightHome"/>
    <x v="9"/>
  </r>
  <r>
    <n v="1582"/>
    <n v="537"/>
    <s v="C2900"/>
    <x v="97"/>
    <x v="9"/>
    <n v="7"/>
    <s v="SafeDrive"/>
    <x v="21"/>
  </r>
  <r>
    <n v="1583"/>
    <n v="656"/>
    <s v="E500"/>
    <x v="157"/>
    <x v="4"/>
    <n v="15"/>
    <s v="TabletMakers"/>
    <x v="5"/>
  </r>
  <r>
    <n v="1584"/>
    <n v="640"/>
    <s v="Z2600"/>
    <x v="91"/>
    <x v="4"/>
    <n v="4"/>
    <s v="SoundCo"/>
    <x v="7"/>
  </r>
  <r>
    <n v="1585"/>
    <n v="514"/>
    <s v="D3000"/>
    <x v="26"/>
    <x v="9"/>
    <n v="13"/>
    <s v="SafeTech"/>
    <x v="23"/>
  </r>
  <r>
    <n v="1586"/>
    <n v="503"/>
    <s v="B2800"/>
    <x v="22"/>
    <x v="5"/>
    <n v="16"/>
    <s v="BookTech"/>
    <x v="16"/>
  </r>
  <r>
    <n v="1587"/>
    <n v="669"/>
    <s v="M1300"/>
    <x v="257"/>
    <x v="7"/>
    <n v="9"/>
    <s v="VRWorld"/>
    <x v="11"/>
  </r>
  <r>
    <n v="1588"/>
    <n v="552"/>
    <s v="C2900"/>
    <x v="298"/>
    <x v="9"/>
    <n v="20"/>
    <s v="SafeDrive"/>
    <x v="21"/>
  </r>
  <r>
    <n v="1589"/>
    <n v="702"/>
    <s v="Z2600"/>
    <x v="202"/>
    <x v="4"/>
    <n v="15"/>
    <s v="SoundCo"/>
    <x v="7"/>
  </r>
  <r>
    <n v="1590"/>
    <n v="679"/>
    <s v="Q1700"/>
    <x v="233"/>
    <x v="8"/>
    <n v="7"/>
    <s v="CleanBot"/>
    <x v="17"/>
  </r>
  <r>
    <n v="1591"/>
    <n v="601"/>
    <s v="I900"/>
    <x v="266"/>
    <x v="8"/>
    <n v="2"/>
    <s v="PlayMax"/>
    <x v="22"/>
  </r>
  <r>
    <n v="1592"/>
    <n v="592"/>
    <s v="X2400"/>
    <x v="226"/>
    <x v="1"/>
    <n v="19"/>
    <s v="ClickTech"/>
    <x v="1"/>
  </r>
  <r>
    <n v="1593"/>
    <n v="548"/>
    <s v="D400"/>
    <x v="236"/>
    <x v="9"/>
    <n v="1"/>
    <s v="CompuTech"/>
    <x v="24"/>
  </r>
  <r>
    <n v="1594"/>
    <n v="743"/>
    <s v="L1200"/>
    <x v="290"/>
    <x v="1"/>
    <n v="6"/>
    <s v="ClickTech"/>
    <x v="1"/>
  </r>
  <r>
    <n v="1595"/>
    <n v="603"/>
    <s v="R1800"/>
    <x v="299"/>
    <x v="3"/>
    <n v="19"/>
    <s v="SoundWave"/>
    <x v="4"/>
  </r>
  <r>
    <n v="1596"/>
    <n v="665"/>
    <s v="E500"/>
    <x v="130"/>
    <x v="4"/>
    <n v="7"/>
    <s v="TabletMakers"/>
    <x v="5"/>
  </r>
  <r>
    <n v="1597"/>
    <n v="654"/>
    <s v="J1000"/>
    <x v="300"/>
    <x v="7"/>
    <n v="20"/>
    <s v="VisionTech"/>
    <x v="15"/>
  </r>
  <r>
    <n v="1598"/>
    <n v="623"/>
    <s v="K1100"/>
    <x v="157"/>
    <x v="6"/>
    <n v="18"/>
    <s v="DataSafe"/>
    <x v="18"/>
  </r>
  <r>
    <n v="1599"/>
    <n v="517"/>
    <s v="K1100"/>
    <x v="194"/>
    <x v="6"/>
    <n v="9"/>
    <s v="DataSafe"/>
    <x v="18"/>
  </r>
  <r>
    <n v="1600"/>
    <n v="742"/>
    <s v="O1500"/>
    <x v="118"/>
    <x v="2"/>
    <n v="10"/>
    <s v="StreamIt"/>
    <x v="13"/>
  </r>
  <r>
    <n v="1601"/>
    <n v="706"/>
    <s v="J1000"/>
    <x v="220"/>
    <x v="7"/>
    <n v="20"/>
    <s v="VisionTech"/>
    <x v="15"/>
  </r>
  <r>
    <n v="1602"/>
    <n v="699"/>
    <s v="G3300"/>
    <x v="301"/>
    <x v="2"/>
    <n v="4"/>
    <s v="PhotoFrame Inc."/>
    <x v="2"/>
  </r>
  <r>
    <n v="1603"/>
    <n v="545"/>
    <s v="Z2600"/>
    <x v="46"/>
    <x v="4"/>
    <n v="10"/>
    <s v="SoundCo"/>
    <x v="7"/>
  </r>
  <r>
    <n v="1604"/>
    <n v="639"/>
    <s v="J1000"/>
    <x v="103"/>
    <x v="7"/>
    <n v="3"/>
    <s v="VisionTech"/>
    <x v="15"/>
  </r>
  <r>
    <n v="1605"/>
    <n v="535"/>
    <s v="C300"/>
    <x v="74"/>
    <x v="0"/>
    <n v="11"/>
    <s v="Wearable Inc."/>
    <x v="0"/>
  </r>
  <r>
    <n v="1606"/>
    <n v="677"/>
    <s v="C2900"/>
    <x v="126"/>
    <x v="9"/>
    <n v="20"/>
    <s v="SafeDrive"/>
    <x v="21"/>
  </r>
  <r>
    <n v="1607"/>
    <n v="732"/>
    <s v="U2100"/>
    <x v="170"/>
    <x v="2"/>
    <n v="11"/>
    <s v="ChargePro"/>
    <x v="10"/>
  </r>
  <r>
    <n v="1608"/>
    <n v="524"/>
    <s v="Y2500"/>
    <x v="130"/>
    <x v="1"/>
    <n v="12"/>
    <s v="ClickTech"/>
    <x v="1"/>
  </r>
  <r>
    <n v="1609"/>
    <n v="653"/>
    <s v="Y2500"/>
    <x v="57"/>
    <x v="1"/>
    <n v="8"/>
    <s v="ClickTech"/>
    <x v="1"/>
  </r>
  <r>
    <n v="1610"/>
    <n v="747"/>
    <s v="K1100"/>
    <x v="302"/>
    <x v="6"/>
    <n v="16"/>
    <s v="DataSafe"/>
    <x v="18"/>
  </r>
  <r>
    <n v="1611"/>
    <n v="571"/>
    <s v="F600"/>
    <x v="282"/>
    <x v="2"/>
    <n v="16"/>
    <s v="ChargePro"/>
    <x v="10"/>
  </r>
  <r>
    <n v="1612"/>
    <n v="663"/>
    <s v="I900"/>
    <x v="95"/>
    <x v="8"/>
    <n v="19"/>
    <s v="PlayMax"/>
    <x v="22"/>
  </r>
  <r>
    <n v="1613"/>
    <n v="729"/>
    <s v="C300"/>
    <x v="201"/>
    <x v="0"/>
    <n v="11"/>
    <s v="Wearable Inc."/>
    <x v="0"/>
  </r>
  <r>
    <n v="1614"/>
    <n v="701"/>
    <s v="B200"/>
    <x v="35"/>
    <x v="4"/>
    <n v="3"/>
    <s v="SoundCo"/>
    <x v="7"/>
  </r>
  <r>
    <n v="1615"/>
    <n v="530"/>
    <s v="W2300"/>
    <x v="194"/>
    <x v="3"/>
    <n v="1"/>
    <s v="ShutterPro"/>
    <x v="14"/>
  </r>
  <r>
    <n v="1616"/>
    <n v="600"/>
    <s v="X2400"/>
    <x v="47"/>
    <x v="1"/>
    <n v="14"/>
    <s v="ClickTech"/>
    <x v="1"/>
  </r>
  <r>
    <n v="1617"/>
    <n v="662"/>
    <s v="I900"/>
    <x v="43"/>
    <x v="8"/>
    <n v="17"/>
    <s v="PlayMax"/>
    <x v="22"/>
  </r>
  <r>
    <n v="1618"/>
    <n v="623"/>
    <s v="E3100"/>
    <x v="52"/>
    <x v="1"/>
    <n v="8"/>
    <s v="DisplayPro"/>
    <x v="6"/>
  </r>
  <r>
    <n v="1619"/>
    <n v="637"/>
    <s v="Z2600"/>
    <x v="294"/>
    <x v="4"/>
    <n v="16"/>
    <s v="SoundCo"/>
    <x v="7"/>
  </r>
  <r>
    <n v="1620"/>
    <n v="714"/>
    <s v="P1600"/>
    <x v="177"/>
    <x v="9"/>
    <n v="8"/>
    <s v="SafeTech"/>
    <x v="23"/>
  </r>
  <r>
    <n v="1621"/>
    <n v="747"/>
    <s v="R1800"/>
    <x v="83"/>
    <x v="3"/>
    <n v="11"/>
    <s v="SoundWave"/>
    <x v="4"/>
  </r>
  <r>
    <n v="1622"/>
    <n v="544"/>
    <s v="B200"/>
    <x v="37"/>
    <x v="4"/>
    <n v="18"/>
    <s v="SoundCo"/>
    <x v="7"/>
  </r>
  <r>
    <n v="1623"/>
    <n v="558"/>
    <s v="D400"/>
    <x v="303"/>
    <x v="9"/>
    <n v="17"/>
    <s v="CompuTech"/>
    <x v="24"/>
  </r>
  <r>
    <n v="1624"/>
    <n v="721"/>
    <s v="C2900"/>
    <x v="261"/>
    <x v="9"/>
    <n v="16"/>
    <s v="SafeDrive"/>
    <x v="21"/>
  </r>
  <r>
    <n v="1625"/>
    <n v="603"/>
    <s v="H3400"/>
    <x v="228"/>
    <x v="7"/>
    <n v="8"/>
    <s v="VisionTech"/>
    <x v="15"/>
  </r>
  <r>
    <n v="1626"/>
    <n v="617"/>
    <s v="J1000"/>
    <x v="304"/>
    <x v="7"/>
    <n v="10"/>
    <s v="VisionTech"/>
    <x v="15"/>
  </r>
  <r>
    <n v="1627"/>
    <n v="667"/>
    <s v="C300"/>
    <x v="114"/>
    <x v="0"/>
    <n v="8"/>
    <s v="Wearable Inc."/>
    <x v="0"/>
  </r>
  <r>
    <n v="1628"/>
    <n v="503"/>
    <s v="N1400"/>
    <x v="91"/>
    <x v="5"/>
    <n v="17"/>
    <s v="FitTech"/>
    <x v="8"/>
  </r>
  <r>
    <n v="1629"/>
    <n v="574"/>
    <s v="D3000"/>
    <x v="267"/>
    <x v="9"/>
    <n v="4"/>
    <s v="SafeTech"/>
    <x v="23"/>
  </r>
  <r>
    <n v="1630"/>
    <n v="604"/>
    <s v="X2400"/>
    <x v="75"/>
    <x v="1"/>
    <n v="13"/>
    <s v="ClickTech"/>
    <x v="1"/>
  </r>
  <r>
    <n v="1631"/>
    <n v="748"/>
    <s v="G3300"/>
    <x v="292"/>
    <x v="2"/>
    <n v="12"/>
    <s v="PhotoFrame Inc."/>
    <x v="2"/>
  </r>
  <r>
    <n v="1632"/>
    <n v="696"/>
    <s v="I900"/>
    <x v="305"/>
    <x v="8"/>
    <n v="16"/>
    <s v="PlayMax"/>
    <x v="22"/>
  </r>
  <r>
    <n v="1633"/>
    <n v="599"/>
    <s v="D3000"/>
    <x v="306"/>
    <x v="9"/>
    <n v="7"/>
    <s v="SafeTech"/>
    <x v="23"/>
  </r>
  <r>
    <n v="1634"/>
    <n v="683"/>
    <s v="G700"/>
    <x v="247"/>
    <x v="1"/>
    <n v="17"/>
    <s v="ClickTech"/>
    <x v="1"/>
  </r>
  <r>
    <n v="1635"/>
    <n v="685"/>
    <s v="T2000"/>
    <x v="136"/>
    <x v="6"/>
    <n v="5"/>
    <s v="BrightHome"/>
    <x v="9"/>
  </r>
  <r>
    <n v="1636"/>
    <n v="721"/>
    <s v="N1400"/>
    <x v="148"/>
    <x v="5"/>
    <n v="13"/>
    <s v="FitTech"/>
    <x v="8"/>
  </r>
  <r>
    <n v="1637"/>
    <n v="587"/>
    <s v="C300"/>
    <x v="83"/>
    <x v="0"/>
    <n v="12"/>
    <s v="Wearable Inc."/>
    <x v="0"/>
  </r>
  <r>
    <n v="1638"/>
    <n v="671"/>
    <s v="T2000"/>
    <x v="2"/>
    <x v="6"/>
    <n v="11"/>
    <s v="BrightHome"/>
    <x v="9"/>
  </r>
  <r>
    <n v="1639"/>
    <n v="664"/>
    <s v="Q1700"/>
    <x v="307"/>
    <x v="8"/>
    <n v="19"/>
    <s v="CleanBot"/>
    <x v="17"/>
  </r>
  <r>
    <n v="1640"/>
    <n v="524"/>
    <s v="F600"/>
    <x v="129"/>
    <x v="2"/>
    <n v="5"/>
    <s v="ChargePro"/>
    <x v="10"/>
  </r>
  <r>
    <n v="1641"/>
    <n v="680"/>
    <s v="A2700"/>
    <x v="193"/>
    <x v="7"/>
    <n v="5"/>
    <s v="AeroTech"/>
    <x v="12"/>
  </r>
  <r>
    <n v="1642"/>
    <n v="749"/>
    <s v="E3100"/>
    <x v="244"/>
    <x v="1"/>
    <n v="3"/>
    <s v="DisplayPro"/>
    <x v="6"/>
  </r>
  <r>
    <n v="1643"/>
    <n v="502"/>
    <s v="S1900"/>
    <x v="53"/>
    <x v="1"/>
    <n v="6"/>
    <s v="GPUForce"/>
    <x v="3"/>
  </r>
  <r>
    <n v="1644"/>
    <n v="501"/>
    <s v="I900"/>
    <x v="127"/>
    <x v="8"/>
    <n v="19"/>
    <s v="PlayMax"/>
    <x v="22"/>
  </r>
  <r>
    <n v="1645"/>
    <n v="717"/>
    <s v="S1900"/>
    <x v="264"/>
    <x v="1"/>
    <n v="14"/>
    <s v="GPUForce"/>
    <x v="3"/>
  </r>
  <r>
    <n v="1646"/>
    <n v="572"/>
    <s v="E3100"/>
    <x v="251"/>
    <x v="1"/>
    <n v="10"/>
    <s v="DisplayPro"/>
    <x v="6"/>
  </r>
  <r>
    <n v="1647"/>
    <n v="656"/>
    <s v="R1800"/>
    <x v="273"/>
    <x v="3"/>
    <n v="1"/>
    <s v="SoundWave"/>
    <x v="4"/>
  </r>
  <r>
    <n v="1648"/>
    <n v="732"/>
    <s v="H3400"/>
    <x v="6"/>
    <x v="7"/>
    <n v="5"/>
    <s v="VisionTech"/>
    <x v="15"/>
  </r>
  <r>
    <n v="1649"/>
    <n v="699"/>
    <s v="P1600"/>
    <x v="166"/>
    <x v="9"/>
    <n v="13"/>
    <s v="SafeTech"/>
    <x v="23"/>
  </r>
  <r>
    <n v="1650"/>
    <n v="581"/>
    <s v="N1400"/>
    <x v="229"/>
    <x v="5"/>
    <n v="17"/>
    <s v="FitTech"/>
    <x v="8"/>
  </r>
  <r>
    <n v="1651"/>
    <n v="520"/>
    <s v="K1100"/>
    <x v="284"/>
    <x v="6"/>
    <n v="19"/>
    <s v="DataSafe"/>
    <x v="18"/>
  </r>
  <r>
    <n v="1652"/>
    <n v="586"/>
    <s v="A100"/>
    <x v="120"/>
    <x v="2"/>
    <n v="4"/>
    <s v="TechCorp"/>
    <x v="19"/>
  </r>
  <r>
    <n v="1653"/>
    <n v="558"/>
    <s v="H3400"/>
    <x v="297"/>
    <x v="7"/>
    <n v="20"/>
    <s v="VisionTech"/>
    <x v="15"/>
  </r>
  <r>
    <n v="1654"/>
    <n v="501"/>
    <s v="N1400"/>
    <x v="96"/>
    <x v="5"/>
    <n v="18"/>
    <s v="FitTech"/>
    <x v="8"/>
  </r>
  <r>
    <n v="1655"/>
    <n v="541"/>
    <s v="I900"/>
    <x v="169"/>
    <x v="8"/>
    <n v="12"/>
    <s v="PlayMax"/>
    <x v="22"/>
  </r>
  <r>
    <n v="1656"/>
    <n v="593"/>
    <s v="B200"/>
    <x v="136"/>
    <x v="4"/>
    <n v="5"/>
    <s v="SoundCo"/>
    <x v="7"/>
  </r>
  <r>
    <n v="1657"/>
    <n v="521"/>
    <s v="R1800"/>
    <x v="308"/>
    <x v="3"/>
    <n v="8"/>
    <s v="SoundWave"/>
    <x v="4"/>
  </r>
  <r>
    <n v="1658"/>
    <n v="631"/>
    <s v="P1600"/>
    <x v="309"/>
    <x v="9"/>
    <n v="19"/>
    <s v="SafeTech"/>
    <x v="23"/>
  </r>
  <r>
    <n v="1659"/>
    <n v="505"/>
    <s v="G3300"/>
    <x v="153"/>
    <x v="2"/>
    <n v="10"/>
    <s v="PhotoFrame Inc."/>
    <x v="2"/>
  </r>
  <r>
    <n v="1660"/>
    <n v="610"/>
    <s v="B2800"/>
    <x v="117"/>
    <x v="5"/>
    <n v="1"/>
    <s v="BookTech"/>
    <x v="16"/>
  </r>
  <r>
    <n v="1661"/>
    <n v="614"/>
    <s v="G700"/>
    <x v="310"/>
    <x v="1"/>
    <n v="4"/>
    <s v="ClickTech"/>
    <x v="1"/>
  </r>
  <r>
    <n v="1662"/>
    <n v="680"/>
    <s v="N1400"/>
    <x v="46"/>
    <x v="5"/>
    <n v="5"/>
    <s v="FitTech"/>
    <x v="8"/>
  </r>
  <r>
    <n v="1663"/>
    <n v="700"/>
    <s v="N1400"/>
    <x v="46"/>
    <x v="5"/>
    <n v="13"/>
    <s v="FitTech"/>
    <x v="8"/>
  </r>
  <r>
    <n v="1664"/>
    <n v="596"/>
    <s v="R1800"/>
    <x v="54"/>
    <x v="3"/>
    <n v="19"/>
    <s v="SoundWave"/>
    <x v="4"/>
  </r>
  <r>
    <n v="1665"/>
    <n v="648"/>
    <s v="N1400"/>
    <x v="311"/>
    <x v="5"/>
    <n v="18"/>
    <s v="FitTech"/>
    <x v="8"/>
  </r>
  <r>
    <n v="1666"/>
    <n v="518"/>
    <s v="T2000"/>
    <x v="237"/>
    <x v="6"/>
    <n v="17"/>
    <s v="BrightHome"/>
    <x v="9"/>
  </r>
  <r>
    <n v="1667"/>
    <n v="627"/>
    <s v="I900"/>
    <x v="116"/>
    <x v="8"/>
    <n v="8"/>
    <s v="PlayMax"/>
    <x v="22"/>
  </r>
  <r>
    <n v="1668"/>
    <n v="606"/>
    <s v="P1600"/>
    <x v="95"/>
    <x v="9"/>
    <n v="7"/>
    <s v="SafeTech"/>
    <x v="23"/>
  </r>
  <r>
    <n v="1669"/>
    <n v="723"/>
    <s v="S1900"/>
    <x v="312"/>
    <x v="1"/>
    <n v="14"/>
    <s v="GPUForce"/>
    <x v="3"/>
  </r>
  <r>
    <n v="1670"/>
    <n v="643"/>
    <s v="P1600"/>
    <x v="142"/>
    <x v="9"/>
    <n v="10"/>
    <s v="SafeTech"/>
    <x v="23"/>
  </r>
  <r>
    <n v="1671"/>
    <n v="660"/>
    <s v="S1900"/>
    <x v="300"/>
    <x v="1"/>
    <n v="1"/>
    <s v="GPUForce"/>
    <x v="3"/>
  </r>
  <r>
    <n v="1672"/>
    <n v="682"/>
    <s v="O1500"/>
    <x v="181"/>
    <x v="2"/>
    <n v="10"/>
    <s v="StreamIt"/>
    <x v="13"/>
  </r>
  <r>
    <n v="1673"/>
    <n v="732"/>
    <s v="C2900"/>
    <x v="101"/>
    <x v="9"/>
    <n v="12"/>
    <s v="SafeDrive"/>
    <x v="21"/>
  </r>
  <r>
    <n v="1674"/>
    <n v="746"/>
    <s v="M1300"/>
    <x v="73"/>
    <x v="7"/>
    <n v="20"/>
    <s v="VRWorld"/>
    <x v="11"/>
  </r>
  <r>
    <n v="1675"/>
    <n v="672"/>
    <s v="A100"/>
    <x v="194"/>
    <x v="2"/>
    <n v="7"/>
    <s v="TechCorp"/>
    <x v="19"/>
  </r>
  <r>
    <n v="1676"/>
    <n v="530"/>
    <s v="Z2600"/>
    <x v="201"/>
    <x v="4"/>
    <n v="20"/>
    <s v="SoundCo"/>
    <x v="7"/>
  </r>
  <r>
    <n v="1677"/>
    <n v="634"/>
    <s v="M1300"/>
    <x v="212"/>
    <x v="7"/>
    <n v="12"/>
    <s v="VRWorld"/>
    <x v="11"/>
  </r>
  <r>
    <n v="1678"/>
    <n v="598"/>
    <s v="H3400"/>
    <x v="313"/>
    <x v="7"/>
    <n v="19"/>
    <s v="VisionTech"/>
    <x v="15"/>
  </r>
  <r>
    <n v="1679"/>
    <n v="613"/>
    <s v="N1400"/>
    <x v="314"/>
    <x v="5"/>
    <n v="9"/>
    <s v="FitTech"/>
    <x v="8"/>
  </r>
  <r>
    <n v="1680"/>
    <n v="649"/>
    <s v="Y2500"/>
    <x v="278"/>
    <x v="1"/>
    <n v="18"/>
    <s v="ClickTech"/>
    <x v="1"/>
  </r>
  <r>
    <n v="1681"/>
    <n v="737"/>
    <s v="C2900"/>
    <x v="220"/>
    <x v="9"/>
    <n v="10"/>
    <s v="SafeDrive"/>
    <x v="21"/>
  </r>
  <r>
    <n v="1682"/>
    <n v="517"/>
    <s v="A2700"/>
    <x v="190"/>
    <x v="7"/>
    <n v="7"/>
    <s v="AeroTech"/>
    <x v="12"/>
  </r>
  <r>
    <n v="1683"/>
    <n v="663"/>
    <s v="A2700"/>
    <x v="297"/>
    <x v="7"/>
    <n v="17"/>
    <s v="AeroTech"/>
    <x v="12"/>
  </r>
  <r>
    <n v="1684"/>
    <n v="601"/>
    <s v="S1900"/>
    <x v="296"/>
    <x v="1"/>
    <n v="11"/>
    <s v="GPUForce"/>
    <x v="3"/>
  </r>
  <r>
    <n v="1685"/>
    <n v="717"/>
    <s v="H3400"/>
    <x v="240"/>
    <x v="7"/>
    <n v="11"/>
    <s v="VisionTech"/>
    <x v="15"/>
  </r>
  <r>
    <n v="1686"/>
    <n v="527"/>
    <s v="N1400"/>
    <x v="253"/>
    <x v="5"/>
    <n v="19"/>
    <s v="FitTech"/>
    <x v="8"/>
  </r>
  <r>
    <n v="1687"/>
    <n v="536"/>
    <s v="F3200"/>
    <x v="165"/>
    <x v="4"/>
    <n v="17"/>
    <s v="DockIt"/>
    <x v="20"/>
  </r>
  <r>
    <n v="1688"/>
    <n v="658"/>
    <s v="L1200"/>
    <x v="43"/>
    <x v="1"/>
    <n v="20"/>
    <s v="ClickTech"/>
    <x v="1"/>
  </r>
  <r>
    <n v="1689"/>
    <n v="506"/>
    <s v="E3100"/>
    <x v="275"/>
    <x v="1"/>
    <n v="5"/>
    <s v="DisplayPro"/>
    <x v="6"/>
  </r>
  <r>
    <n v="1690"/>
    <n v="519"/>
    <s v="X2400"/>
    <x v="315"/>
    <x v="1"/>
    <n v="5"/>
    <s v="ClickTech"/>
    <x v="1"/>
  </r>
  <r>
    <n v="1691"/>
    <n v="567"/>
    <s v="X2400"/>
    <x v="313"/>
    <x v="1"/>
    <n v="10"/>
    <s v="ClickTech"/>
    <x v="1"/>
  </r>
  <r>
    <n v="1692"/>
    <n v="640"/>
    <s v="T2000"/>
    <x v="178"/>
    <x v="6"/>
    <n v="11"/>
    <s v="BrightHome"/>
    <x v="9"/>
  </r>
  <r>
    <n v="1693"/>
    <n v="689"/>
    <s v="J1000"/>
    <x v="77"/>
    <x v="7"/>
    <n v="7"/>
    <s v="VisionTech"/>
    <x v="15"/>
  </r>
  <r>
    <n v="1694"/>
    <n v="699"/>
    <s v="B200"/>
    <x v="275"/>
    <x v="4"/>
    <n v="7"/>
    <s v="SoundCo"/>
    <x v="7"/>
  </r>
  <r>
    <n v="1695"/>
    <n v="512"/>
    <s v="W2300"/>
    <x v="224"/>
    <x v="3"/>
    <n v="8"/>
    <s v="ShutterPro"/>
    <x v="14"/>
  </r>
  <r>
    <n v="1696"/>
    <n v="723"/>
    <s v="I900"/>
    <x v="204"/>
    <x v="8"/>
    <n v="8"/>
    <s v="PlayMax"/>
    <x v="22"/>
  </r>
  <r>
    <n v="1697"/>
    <n v="612"/>
    <s v="A2700"/>
    <x v="316"/>
    <x v="7"/>
    <n v="6"/>
    <s v="AeroTech"/>
    <x v="12"/>
  </r>
  <r>
    <n v="1698"/>
    <n v="527"/>
    <s v="J1000"/>
    <x v="275"/>
    <x v="7"/>
    <n v="19"/>
    <s v="VisionTech"/>
    <x v="15"/>
  </r>
  <r>
    <n v="1699"/>
    <n v="644"/>
    <s v="G3300"/>
    <x v="108"/>
    <x v="2"/>
    <n v="10"/>
    <s v="PhotoFrame Inc."/>
    <x v="2"/>
  </r>
  <r>
    <n v="1700"/>
    <n v="748"/>
    <s v="B200"/>
    <x v="260"/>
    <x v="4"/>
    <n v="20"/>
    <s v="SoundCo"/>
    <x v="7"/>
  </r>
  <r>
    <n v="1701"/>
    <n v="524"/>
    <s v="E3100"/>
    <x v="153"/>
    <x v="1"/>
    <n v="13"/>
    <s v="DisplayPro"/>
    <x v="6"/>
  </r>
  <r>
    <n v="1702"/>
    <n v="699"/>
    <s v="J1000"/>
    <x v="183"/>
    <x v="7"/>
    <n v="12"/>
    <s v="VisionTech"/>
    <x v="15"/>
  </r>
  <r>
    <n v="1703"/>
    <n v="739"/>
    <s v="U2100"/>
    <x v="317"/>
    <x v="2"/>
    <n v="18"/>
    <s v="ChargePro"/>
    <x v="10"/>
  </r>
  <r>
    <n v="1704"/>
    <n v="612"/>
    <s v="Z2600"/>
    <x v="318"/>
    <x v="4"/>
    <n v="11"/>
    <s v="SoundCo"/>
    <x v="7"/>
  </r>
  <r>
    <n v="1705"/>
    <n v="632"/>
    <s v="I900"/>
    <x v="61"/>
    <x v="8"/>
    <n v="1"/>
    <s v="PlayMax"/>
    <x v="22"/>
  </r>
  <r>
    <n v="1706"/>
    <n v="535"/>
    <s v="H800"/>
    <x v="195"/>
    <x v="3"/>
    <n v="15"/>
    <s v="SoundWave"/>
    <x v="4"/>
  </r>
  <r>
    <n v="1707"/>
    <n v="532"/>
    <s v="L1200"/>
    <x v="319"/>
    <x v="1"/>
    <n v="2"/>
    <s v="ClickTech"/>
    <x v="1"/>
  </r>
  <r>
    <n v="1708"/>
    <n v="518"/>
    <s v="D400"/>
    <x v="122"/>
    <x v="9"/>
    <n v="10"/>
    <s v="CompuTech"/>
    <x v="24"/>
  </r>
  <r>
    <n v="1709"/>
    <n v="575"/>
    <s v="B2800"/>
    <x v="111"/>
    <x v="5"/>
    <n v="12"/>
    <s v="BookTech"/>
    <x v="16"/>
  </r>
  <r>
    <n v="1710"/>
    <n v="566"/>
    <s v="Y2500"/>
    <x v="231"/>
    <x v="1"/>
    <n v="1"/>
    <s v="ClickTech"/>
    <x v="1"/>
  </r>
  <r>
    <n v="1711"/>
    <n v="673"/>
    <s v="Z2600"/>
    <x v="193"/>
    <x v="4"/>
    <n v="14"/>
    <s v="SoundCo"/>
    <x v="7"/>
  </r>
  <r>
    <n v="1712"/>
    <n v="539"/>
    <s v="G700"/>
    <x v="4"/>
    <x v="1"/>
    <n v="19"/>
    <s v="ClickTech"/>
    <x v="1"/>
  </r>
  <r>
    <n v="1713"/>
    <n v="562"/>
    <s v="K1100"/>
    <x v="237"/>
    <x v="6"/>
    <n v="4"/>
    <s v="DataSafe"/>
    <x v="18"/>
  </r>
  <r>
    <n v="1714"/>
    <n v="654"/>
    <s v="Z2600"/>
    <x v="320"/>
    <x v="4"/>
    <n v="13"/>
    <s v="SoundCo"/>
    <x v="7"/>
  </r>
  <r>
    <n v="1715"/>
    <n v="527"/>
    <s v="W2300"/>
    <x v="220"/>
    <x v="3"/>
    <n v="14"/>
    <s v="ShutterPro"/>
    <x v="14"/>
  </r>
  <r>
    <n v="1716"/>
    <n v="740"/>
    <s v="C300"/>
    <x v="283"/>
    <x v="0"/>
    <n v="5"/>
    <s v="Wearable Inc."/>
    <x v="0"/>
  </r>
  <r>
    <n v="1717"/>
    <n v="515"/>
    <s v="N1400"/>
    <x v="84"/>
    <x v="5"/>
    <n v="11"/>
    <s v="FitTech"/>
    <x v="8"/>
  </r>
  <r>
    <n v="1718"/>
    <n v="615"/>
    <s v="K1100"/>
    <x v="158"/>
    <x v="6"/>
    <n v="1"/>
    <s v="DataSafe"/>
    <x v="18"/>
  </r>
  <r>
    <n v="1719"/>
    <n v="710"/>
    <s v="A2700"/>
    <x v="51"/>
    <x v="7"/>
    <n v="13"/>
    <s v="AeroTech"/>
    <x v="12"/>
  </r>
  <r>
    <n v="1720"/>
    <n v="647"/>
    <s v="X2400"/>
    <x v="246"/>
    <x v="1"/>
    <n v="4"/>
    <s v="ClickTech"/>
    <x v="1"/>
  </r>
  <r>
    <n v="1721"/>
    <n v="648"/>
    <s v="R1800"/>
    <x v="158"/>
    <x v="3"/>
    <n v="20"/>
    <s v="SoundWave"/>
    <x v="4"/>
  </r>
  <r>
    <n v="1722"/>
    <n v="625"/>
    <s v="H800"/>
    <x v="20"/>
    <x v="3"/>
    <n v="9"/>
    <s v="SoundWave"/>
    <x v="4"/>
  </r>
  <r>
    <n v="1723"/>
    <n v="715"/>
    <s v="H800"/>
    <x v="198"/>
    <x v="3"/>
    <n v="9"/>
    <s v="SoundWave"/>
    <x v="4"/>
  </r>
  <r>
    <n v="1724"/>
    <n v="522"/>
    <s v="M1300"/>
    <x v="50"/>
    <x v="7"/>
    <n v="12"/>
    <s v="VRWorld"/>
    <x v="11"/>
  </r>
  <r>
    <n v="1725"/>
    <n v="714"/>
    <s v="B200"/>
    <x v="210"/>
    <x v="4"/>
    <n v="14"/>
    <s v="SoundCo"/>
    <x v="7"/>
  </r>
  <r>
    <n v="1726"/>
    <n v="720"/>
    <s v="A100"/>
    <x v="132"/>
    <x v="2"/>
    <n v="17"/>
    <s v="TechCorp"/>
    <x v="19"/>
  </r>
  <r>
    <n v="1727"/>
    <n v="582"/>
    <s v="E500"/>
    <x v="309"/>
    <x v="4"/>
    <n v="12"/>
    <s v="TabletMakers"/>
    <x v="5"/>
  </r>
  <r>
    <n v="1728"/>
    <n v="663"/>
    <s v="B200"/>
    <x v="321"/>
    <x v="4"/>
    <n v="9"/>
    <s v="SoundCo"/>
    <x v="7"/>
  </r>
  <r>
    <n v="1729"/>
    <n v="621"/>
    <s v="F3200"/>
    <x v="228"/>
    <x v="4"/>
    <n v="20"/>
    <s v="DockIt"/>
    <x v="20"/>
  </r>
  <r>
    <n v="1730"/>
    <n v="508"/>
    <s v="E3100"/>
    <x v="72"/>
    <x v="1"/>
    <n v="7"/>
    <s v="DisplayPro"/>
    <x v="6"/>
  </r>
  <r>
    <n v="1731"/>
    <n v="526"/>
    <s v="A2700"/>
    <x v="228"/>
    <x v="7"/>
    <n v="5"/>
    <s v="AeroTech"/>
    <x v="12"/>
  </r>
  <r>
    <n v="1732"/>
    <n v="563"/>
    <s v="G700"/>
    <x v="96"/>
    <x v="1"/>
    <n v="19"/>
    <s v="ClickTech"/>
    <x v="1"/>
  </r>
  <r>
    <n v="1733"/>
    <n v="681"/>
    <s v="O1500"/>
    <x v="322"/>
    <x v="2"/>
    <n v="7"/>
    <s v="StreamIt"/>
    <x v="13"/>
  </r>
  <r>
    <n v="1734"/>
    <n v="543"/>
    <s v="E3100"/>
    <x v="300"/>
    <x v="1"/>
    <n v="5"/>
    <s v="DisplayPro"/>
    <x v="6"/>
  </r>
  <r>
    <n v="1735"/>
    <n v="575"/>
    <s v="B2800"/>
    <x v="124"/>
    <x v="5"/>
    <n v="10"/>
    <s v="BookTech"/>
    <x v="16"/>
  </r>
  <r>
    <n v="1736"/>
    <n v="559"/>
    <s v="E3100"/>
    <x v="294"/>
    <x v="1"/>
    <n v="15"/>
    <s v="DisplayPro"/>
    <x v="6"/>
  </r>
  <r>
    <n v="1737"/>
    <n v="689"/>
    <s v="B200"/>
    <x v="39"/>
    <x v="4"/>
    <n v="1"/>
    <s v="SoundCo"/>
    <x v="7"/>
  </r>
  <r>
    <n v="1738"/>
    <n v="594"/>
    <s v="G3300"/>
    <x v="171"/>
    <x v="2"/>
    <n v="1"/>
    <s v="PhotoFrame Inc."/>
    <x v="2"/>
  </r>
  <r>
    <n v="1739"/>
    <n v="532"/>
    <s v="E500"/>
    <x v="184"/>
    <x v="4"/>
    <n v="17"/>
    <s v="TabletMakers"/>
    <x v="5"/>
  </r>
  <r>
    <n v="1740"/>
    <n v="533"/>
    <s v="J1000"/>
    <x v="285"/>
    <x v="7"/>
    <n v="14"/>
    <s v="VisionTech"/>
    <x v="15"/>
  </r>
  <r>
    <n v="1741"/>
    <n v="594"/>
    <s v="B2800"/>
    <x v="165"/>
    <x v="5"/>
    <n v="19"/>
    <s v="BookTech"/>
    <x v="16"/>
  </r>
  <r>
    <n v="1742"/>
    <n v="690"/>
    <s v="A100"/>
    <x v="48"/>
    <x v="2"/>
    <n v="1"/>
    <s v="TechCorp"/>
    <x v="19"/>
  </r>
  <r>
    <n v="1743"/>
    <n v="541"/>
    <s v="H3400"/>
    <x v="78"/>
    <x v="7"/>
    <n v="10"/>
    <s v="VisionTech"/>
    <x v="15"/>
  </r>
  <r>
    <n v="1744"/>
    <n v="504"/>
    <s v="H3400"/>
    <x v="323"/>
    <x v="7"/>
    <n v="16"/>
    <s v="VisionTech"/>
    <x v="15"/>
  </r>
  <r>
    <n v="1745"/>
    <n v="638"/>
    <s v="X2400"/>
    <x v="127"/>
    <x v="1"/>
    <n v="4"/>
    <s v="ClickTech"/>
    <x v="1"/>
  </r>
  <r>
    <n v="1746"/>
    <n v="687"/>
    <s v="E3100"/>
    <x v="324"/>
    <x v="1"/>
    <n v="12"/>
    <s v="DisplayPro"/>
    <x v="6"/>
  </r>
  <r>
    <n v="1747"/>
    <n v="514"/>
    <s v="C2900"/>
    <x v="107"/>
    <x v="9"/>
    <n v="5"/>
    <s v="SafeDrive"/>
    <x v="21"/>
  </r>
  <r>
    <n v="1748"/>
    <n v="536"/>
    <s v="E500"/>
    <x v="70"/>
    <x v="4"/>
    <n v="18"/>
    <s v="TabletMakers"/>
    <x v="5"/>
  </r>
  <r>
    <n v="1749"/>
    <n v="616"/>
    <s v="E500"/>
    <x v="325"/>
    <x v="4"/>
    <n v="18"/>
    <s v="TabletMakers"/>
    <x v="5"/>
  </r>
  <r>
    <n v="1750"/>
    <n v="529"/>
    <s v="D400"/>
    <x v="105"/>
    <x v="9"/>
    <n v="12"/>
    <s v="CompuTech"/>
    <x v="24"/>
  </r>
  <r>
    <n v="1751"/>
    <n v="632"/>
    <s v="P1600"/>
    <x v="95"/>
    <x v="9"/>
    <n v="2"/>
    <s v="SafeTech"/>
    <x v="23"/>
  </r>
  <r>
    <n v="1752"/>
    <n v="521"/>
    <s v="V2200"/>
    <x v="313"/>
    <x v="3"/>
    <n v="17"/>
    <s v="ShutterPro"/>
    <x v="14"/>
  </r>
  <r>
    <n v="1753"/>
    <n v="619"/>
    <s v="H3400"/>
    <x v="286"/>
    <x v="7"/>
    <n v="13"/>
    <s v="VisionTech"/>
    <x v="15"/>
  </r>
  <r>
    <n v="1754"/>
    <n v="588"/>
    <s v="X2400"/>
    <x v="208"/>
    <x v="1"/>
    <n v="10"/>
    <s v="ClickTech"/>
    <x v="1"/>
  </r>
  <r>
    <n v="1755"/>
    <n v="743"/>
    <s v="B2800"/>
    <x v="256"/>
    <x v="5"/>
    <n v="7"/>
    <s v="BookTech"/>
    <x v="16"/>
  </r>
  <r>
    <n v="1756"/>
    <n v="668"/>
    <s v="K1100"/>
    <x v="266"/>
    <x v="6"/>
    <n v="11"/>
    <s v="DataSafe"/>
    <x v="18"/>
  </r>
  <r>
    <n v="1757"/>
    <n v="740"/>
    <s v="H800"/>
    <x v="160"/>
    <x v="3"/>
    <n v="1"/>
    <s v="SoundWave"/>
    <x v="4"/>
  </r>
  <r>
    <n v="1758"/>
    <n v="629"/>
    <s v="C2900"/>
    <x v="2"/>
    <x v="9"/>
    <n v="11"/>
    <s v="SafeDrive"/>
    <x v="21"/>
  </r>
  <r>
    <n v="1759"/>
    <n v="564"/>
    <s v="C2900"/>
    <x v="326"/>
    <x v="9"/>
    <n v="15"/>
    <s v="SafeDrive"/>
    <x v="21"/>
  </r>
  <r>
    <n v="1760"/>
    <n v="674"/>
    <s v="C2900"/>
    <x v="35"/>
    <x v="9"/>
    <n v="16"/>
    <s v="SafeDrive"/>
    <x v="21"/>
  </r>
  <r>
    <n v="1761"/>
    <n v="727"/>
    <s v="U2100"/>
    <x v="1"/>
    <x v="2"/>
    <n v="8"/>
    <s v="ChargePro"/>
    <x v="10"/>
  </r>
  <r>
    <n v="1762"/>
    <n v="560"/>
    <s v="B2800"/>
    <x v="37"/>
    <x v="5"/>
    <n v="19"/>
    <s v="BookTech"/>
    <x v="16"/>
  </r>
  <r>
    <n v="1763"/>
    <n v="560"/>
    <s v="D400"/>
    <x v="283"/>
    <x v="9"/>
    <n v="6"/>
    <s v="CompuTech"/>
    <x v="24"/>
  </r>
  <r>
    <n v="1764"/>
    <n v="620"/>
    <s v="J1000"/>
    <x v="31"/>
    <x v="7"/>
    <n v="7"/>
    <s v="VisionTech"/>
    <x v="15"/>
  </r>
  <r>
    <n v="1765"/>
    <n v="507"/>
    <s v="W2300"/>
    <x v="131"/>
    <x v="3"/>
    <n v="16"/>
    <s v="ShutterPro"/>
    <x v="14"/>
  </r>
  <r>
    <n v="1766"/>
    <n v="658"/>
    <s v="Y2500"/>
    <x v="153"/>
    <x v="1"/>
    <n v="9"/>
    <s v="ClickTech"/>
    <x v="1"/>
  </r>
  <r>
    <n v="1767"/>
    <n v="636"/>
    <s v="S1900"/>
    <x v="327"/>
    <x v="1"/>
    <n v="8"/>
    <s v="GPUForce"/>
    <x v="3"/>
  </r>
  <r>
    <n v="1768"/>
    <n v="740"/>
    <s v="W2300"/>
    <x v="174"/>
    <x v="3"/>
    <n v="14"/>
    <s v="ShutterPro"/>
    <x v="14"/>
  </r>
  <r>
    <n v="1769"/>
    <n v="550"/>
    <s v="H3400"/>
    <x v="210"/>
    <x v="7"/>
    <n v="13"/>
    <s v="VisionTech"/>
    <x v="15"/>
  </r>
  <r>
    <n v="1770"/>
    <n v="628"/>
    <s v="A100"/>
    <x v="272"/>
    <x v="2"/>
    <n v="13"/>
    <s v="TechCorp"/>
    <x v="19"/>
  </r>
  <r>
    <n v="1771"/>
    <n v="606"/>
    <s v="D3000"/>
    <x v="190"/>
    <x v="9"/>
    <n v="18"/>
    <s v="SafeTech"/>
    <x v="23"/>
  </r>
  <r>
    <n v="1772"/>
    <n v="740"/>
    <s v="K1100"/>
    <x v="328"/>
    <x v="6"/>
    <n v="12"/>
    <s v="DataSafe"/>
    <x v="18"/>
  </r>
  <r>
    <n v="1773"/>
    <n v="689"/>
    <s v="T2000"/>
    <x v="102"/>
    <x v="6"/>
    <n v="15"/>
    <s v="BrightHome"/>
    <x v="9"/>
  </r>
  <r>
    <n v="1774"/>
    <n v="669"/>
    <s v="P1600"/>
    <x v="214"/>
    <x v="9"/>
    <n v="7"/>
    <s v="SafeTech"/>
    <x v="23"/>
  </r>
  <r>
    <n v="1775"/>
    <n v="709"/>
    <s v="D3000"/>
    <x v="248"/>
    <x v="9"/>
    <n v="10"/>
    <s v="SafeTech"/>
    <x v="23"/>
  </r>
  <r>
    <n v="1776"/>
    <n v="664"/>
    <s v="C2900"/>
    <x v="35"/>
    <x v="9"/>
    <n v="15"/>
    <s v="SafeDrive"/>
    <x v="21"/>
  </r>
  <r>
    <n v="1777"/>
    <n v="518"/>
    <s v="D400"/>
    <x v="174"/>
    <x v="9"/>
    <n v="17"/>
    <s v="CompuTech"/>
    <x v="24"/>
  </r>
  <r>
    <n v="1778"/>
    <n v="683"/>
    <s v="B2800"/>
    <x v="249"/>
    <x v="5"/>
    <n v="6"/>
    <s v="BookTech"/>
    <x v="16"/>
  </r>
  <r>
    <n v="1779"/>
    <n v="527"/>
    <s v="Q1700"/>
    <x v="254"/>
    <x v="8"/>
    <n v="13"/>
    <s v="CleanBot"/>
    <x v="17"/>
  </r>
  <r>
    <n v="1780"/>
    <n v="533"/>
    <s v="E3100"/>
    <x v="280"/>
    <x v="1"/>
    <n v="4"/>
    <s v="DisplayPro"/>
    <x v="6"/>
  </r>
  <r>
    <n v="1781"/>
    <n v="750"/>
    <s v="E3100"/>
    <x v="240"/>
    <x v="1"/>
    <n v="18"/>
    <s v="DisplayPro"/>
    <x v="6"/>
  </r>
  <r>
    <n v="1782"/>
    <n v="689"/>
    <s v="M1300"/>
    <x v="232"/>
    <x v="7"/>
    <n v="6"/>
    <s v="VRWorld"/>
    <x v="11"/>
  </r>
  <r>
    <n v="1783"/>
    <n v="711"/>
    <s v="C300"/>
    <x v="58"/>
    <x v="0"/>
    <n v="15"/>
    <s v="Wearable Inc."/>
    <x v="0"/>
  </r>
  <r>
    <n v="1784"/>
    <n v="645"/>
    <s v="D3000"/>
    <x v="199"/>
    <x v="9"/>
    <n v="8"/>
    <s v="SafeTech"/>
    <x v="23"/>
  </r>
  <r>
    <n v="1785"/>
    <n v="663"/>
    <s v="C2900"/>
    <x v="39"/>
    <x v="9"/>
    <n v="2"/>
    <s v="SafeDrive"/>
    <x v="21"/>
  </r>
  <r>
    <n v="1786"/>
    <n v="696"/>
    <s v="H800"/>
    <x v="139"/>
    <x v="3"/>
    <n v="12"/>
    <s v="SoundWave"/>
    <x v="4"/>
  </r>
  <r>
    <n v="1787"/>
    <n v="587"/>
    <s v="J1000"/>
    <x v="106"/>
    <x v="7"/>
    <n v="9"/>
    <s v="VisionTech"/>
    <x v="15"/>
  </r>
  <r>
    <n v="1788"/>
    <n v="727"/>
    <s v="R1800"/>
    <x v="300"/>
    <x v="3"/>
    <n v="11"/>
    <s v="SoundWave"/>
    <x v="4"/>
  </r>
  <r>
    <n v="1789"/>
    <n v="590"/>
    <s v="N1400"/>
    <x v="259"/>
    <x v="5"/>
    <n v="5"/>
    <s v="FitTech"/>
    <x v="8"/>
  </r>
  <r>
    <n v="1790"/>
    <n v="581"/>
    <s v="S1900"/>
    <x v="292"/>
    <x v="1"/>
    <n v="9"/>
    <s v="GPUForce"/>
    <x v="3"/>
  </r>
  <r>
    <n v="1791"/>
    <n v="588"/>
    <s v="G700"/>
    <x v="96"/>
    <x v="1"/>
    <n v="7"/>
    <s v="ClickTech"/>
    <x v="1"/>
  </r>
  <r>
    <n v="1792"/>
    <n v="645"/>
    <s v="M1300"/>
    <x v="159"/>
    <x v="7"/>
    <n v="3"/>
    <s v="VRWorld"/>
    <x v="11"/>
  </r>
  <r>
    <n v="1793"/>
    <n v="538"/>
    <s v="O1500"/>
    <x v="171"/>
    <x v="2"/>
    <n v="15"/>
    <s v="StreamIt"/>
    <x v="13"/>
  </r>
  <r>
    <n v="1794"/>
    <n v="708"/>
    <s v="H800"/>
    <x v="152"/>
    <x v="3"/>
    <n v="19"/>
    <s v="SoundWave"/>
    <x v="4"/>
  </r>
  <r>
    <n v="1795"/>
    <n v="595"/>
    <s v="K1100"/>
    <x v="222"/>
    <x v="6"/>
    <n v="17"/>
    <s v="DataSafe"/>
    <x v="18"/>
  </r>
  <r>
    <n v="1796"/>
    <n v="593"/>
    <s v="Z2600"/>
    <x v="0"/>
    <x v="4"/>
    <n v="19"/>
    <s v="SoundCo"/>
    <x v="7"/>
  </r>
  <r>
    <n v="1797"/>
    <n v="667"/>
    <s v="H800"/>
    <x v="148"/>
    <x v="3"/>
    <n v="16"/>
    <s v="SoundWave"/>
    <x v="4"/>
  </r>
  <r>
    <n v="1798"/>
    <n v="550"/>
    <s v="E500"/>
    <x v="121"/>
    <x v="4"/>
    <n v="13"/>
    <s v="TabletMakers"/>
    <x v="5"/>
  </r>
  <r>
    <n v="1799"/>
    <n v="542"/>
    <s v="Z2600"/>
    <x v="162"/>
    <x v="4"/>
    <n v="11"/>
    <s v="SoundCo"/>
    <x v="7"/>
  </r>
  <r>
    <n v="1800"/>
    <n v="543"/>
    <s v="Z2600"/>
    <x v="148"/>
    <x v="4"/>
    <n v="2"/>
    <s v="SoundCo"/>
    <x v="7"/>
  </r>
  <r>
    <n v="1801"/>
    <n v="638"/>
    <s v="G700"/>
    <x v="181"/>
    <x v="1"/>
    <n v="1"/>
    <s v="ClickTech"/>
    <x v="1"/>
  </r>
  <r>
    <n v="1802"/>
    <n v="599"/>
    <s v="U2100"/>
    <x v="303"/>
    <x v="2"/>
    <n v="5"/>
    <s v="ChargePro"/>
    <x v="10"/>
  </r>
  <r>
    <n v="1803"/>
    <n v="603"/>
    <s v="C2900"/>
    <x v="276"/>
    <x v="9"/>
    <n v="2"/>
    <s v="SafeDrive"/>
    <x v="21"/>
  </r>
  <r>
    <n v="1804"/>
    <n v="685"/>
    <s v="H3400"/>
    <x v="185"/>
    <x v="7"/>
    <n v="15"/>
    <s v="VisionTech"/>
    <x v="15"/>
  </r>
  <r>
    <n v="1805"/>
    <n v="513"/>
    <s v="L1200"/>
    <x v="0"/>
    <x v="1"/>
    <n v="20"/>
    <s v="ClickTech"/>
    <x v="1"/>
  </r>
  <r>
    <n v="1806"/>
    <n v="585"/>
    <s v="N1400"/>
    <x v="326"/>
    <x v="5"/>
    <n v="10"/>
    <s v="FitTech"/>
    <x v="8"/>
  </r>
  <r>
    <n v="1807"/>
    <n v="589"/>
    <s v="Y2500"/>
    <x v="302"/>
    <x v="1"/>
    <n v="1"/>
    <s v="ClickTech"/>
    <x v="1"/>
  </r>
  <r>
    <n v="1808"/>
    <n v="733"/>
    <s v="R1800"/>
    <x v="191"/>
    <x v="3"/>
    <n v="7"/>
    <s v="SoundWave"/>
    <x v="4"/>
  </r>
  <r>
    <n v="1809"/>
    <n v="748"/>
    <s v="A100"/>
    <x v="296"/>
    <x v="2"/>
    <n v="19"/>
    <s v="TechCorp"/>
    <x v="19"/>
  </r>
  <r>
    <n v="1810"/>
    <n v="582"/>
    <s v="F600"/>
    <x v="219"/>
    <x v="2"/>
    <n v="20"/>
    <s v="ChargePro"/>
    <x v="10"/>
  </r>
  <r>
    <n v="1811"/>
    <n v="620"/>
    <s v="J1000"/>
    <x v="210"/>
    <x v="7"/>
    <n v="6"/>
    <s v="VisionTech"/>
    <x v="15"/>
  </r>
  <r>
    <n v="1812"/>
    <n v="569"/>
    <s v="D3000"/>
    <x v="329"/>
    <x v="9"/>
    <n v="6"/>
    <s v="SafeTech"/>
    <x v="23"/>
  </r>
  <r>
    <n v="1813"/>
    <n v="734"/>
    <s v="V2200"/>
    <x v="330"/>
    <x v="3"/>
    <n v="8"/>
    <s v="ShutterPro"/>
    <x v="14"/>
  </r>
  <r>
    <n v="1814"/>
    <n v="545"/>
    <s v="S1900"/>
    <x v="78"/>
    <x v="1"/>
    <n v="12"/>
    <s v="GPUForce"/>
    <x v="3"/>
  </r>
  <r>
    <n v="1815"/>
    <n v="749"/>
    <s v="R1800"/>
    <x v="222"/>
    <x v="3"/>
    <n v="9"/>
    <s v="SoundWave"/>
    <x v="4"/>
  </r>
  <r>
    <n v="1816"/>
    <n v="747"/>
    <s v="Q1700"/>
    <x v="331"/>
    <x v="8"/>
    <n v="12"/>
    <s v="CleanBot"/>
    <x v="17"/>
  </r>
  <r>
    <n v="1817"/>
    <n v="692"/>
    <s v="P1600"/>
    <x v="4"/>
    <x v="9"/>
    <n v="11"/>
    <s v="SafeTech"/>
    <x v="23"/>
  </r>
  <r>
    <n v="1818"/>
    <n v="594"/>
    <s v="U2100"/>
    <x v="158"/>
    <x v="2"/>
    <n v="2"/>
    <s v="ChargePro"/>
    <x v="10"/>
  </r>
  <r>
    <n v="1819"/>
    <n v="579"/>
    <s v="K1100"/>
    <x v="255"/>
    <x v="6"/>
    <n v="6"/>
    <s v="DataSafe"/>
    <x v="18"/>
  </r>
  <r>
    <n v="1820"/>
    <n v="730"/>
    <s v="F3200"/>
    <x v="240"/>
    <x v="4"/>
    <n v="19"/>
    <s v="DockIt"/>
    <x v="20"/>
  </r>
  <r>
    <n v="1821"/>
    <n v="554"/>
    <s v="T2000"/>
    <x v="136"/>
    <x v="6"/>
    <n v="5"/>
    <s v="BrightHome"/>
    <x v="9"/>
  </r>
  <r>
    <n v="1822"/>
    <n v="640"/>
    <s v="C2900"/>
    <x v="243"/>
    <x v="9"/>
    <n v="4"/>
    <s v="SafeDrive"/>
    <x v="21"/>
  </r>
  <r>
    <n v="1823"/>
    <n v="528"/>
    <s v="H3400"/>
    <x v="332"/>
    <x v="7"/>
    <n v="15"/>
    <s v="VisionTech"/>
    <x v="15"/>
  </r>
  <r>
    <n v="1824"/>
    <n v="704"/>
    <s v="Z2600"/>
    <x v="100"/>
    <x v="4"/>
    <n v="17"/>
    <s v="SoundCo"/>
    <x v="7"/>
  </r>
  <r>
    <n v="1825"/>
    <n v="691"/>
    <s v="E500"/>
    <x v="333"/>
    <x v="4"/>
    <n v="10"/>
    <s v="TabletMakers"/>
    <x v="5"/>
  </r>
  <r>
    <n v="1826"/>
    <n v="700"/>
    <s v="D3000"/>
    <x v="246"/>
    <x v="9"/>
    <n v="19"/>
    <s v="SafeTech"/>
    <x v="23"/>
  </r>
  <r>
    <n v="1827"/>
    <n v="513"/>
    <s v="L1200"/>
    <x v="93"/>
    <x v="1"/>
    <n v="19"/>
    <s v="ClickTech"/>
    <x v="1"/>
  </r>
  <r>
    <n v="1828"/>
    <n v="614"/>
    <s v="C300"/>
    <x v="182"/>
    <x v="0"/>
    <n v="3"/>
    <s v="Wearable Inc."/>
    <x v="0"/>
  </r>
  <r>
    <n v="1829"/>
    <n v="554"/>
    <s v="B200"/>
    <x v="119"/>
    <x v="4"/>
    <n v="11"/>
    <s v="SoundCo"/>
    <x v="7"/>
  </r>
  <r>
    <n v="1830"/>
    <n v="672"/>
    <s v="I900"/>
    <x v="125"/>
    <x v="8"/>
    <n v="6"/>
    <s v="PlayMax"/>
    <x v="22"/>
  </r>
  <r>
    <n v="1831"/>
    <n v="671"/>
    <s v="G700"/>
    <x v="71"/>
    <x v="1"/>
    <n v="7"/>
    <s v="ClickTech"/>
    <x v="1"/>
  </r>
  <r>
    <n v="1832"/>
    <n v="523"/>
    <s v="Z2600"/>
    <x v="67"/>
    <x v="4"/>
    <n v="1"/>
    <s v="SoundCo"/>
    <x v="7"/>
  </r>
  <r>
    <n v="1833"/>
    <n v="646"/>
    <s v="G700"/>
    <x v="328"/>
    <x v="1"/>
    <n v="3"/>
    <s v="ClickTech"/>
    <x v="1"/>
  </r>
  <r>
    <n v="1834"/>
    <n v="518"/>
    <s v="O1500"/>
    <x v="334"/>
    <x v="2"/>
    <n v="7"/>
    <s v="StreamIt"/>
    <x v="13"/>
  </r>
  <r>
    <n v="1835"/>
    <n v="567"/>
    <s v="U2100"/>
    <x v="335"/>
    <x v="2"/>
    <n v="10"/>
    <s v="ChargePro"/>
    <x v="10"/>
  </r>
  <r>
    <n v="1836"/>
    <n v="568"/>
    <s v="H3400"/>
    <x v="20"/>
    <x v="7"/>
    <n v="13"/>
    <s v="VisionTech"/>
    <x v="15"/>
  </r>
  <r>
    <n v="1837"/>
    <n v="600"/>
    <s v="J1000"/>
    <x v="195"/>
    <x v="7"/>
    <n v="10"/>
    <s v="VisionTech"/>
    <x v="15"/>
  </r>
  <r>
    <n v="1838"/>
    <n v="732"/>
    <s v="N1400"/>
    <x v="122"/>
    <x v="5"/>
    <n v="14"/>
    <s v="FitTech"/>
    <x v="8"/>
  </r>
  <r>
    <n v="1839"/>
    <n v="603"/>
    <s v="S1900"/>
    <x v="198"/>
    <x v="1"/>
    <n v="4"/>
    <s v="GPUForce"/>
    <x v="3"/>
  </r>
  <r>
    <n v="1840"/>
    <n v="638"/>
    <s v="F3200"/>
    <x v="336"/>
    <x v="4"/>
    <n v="2"/>
    <s v="DockIt"/>
    <x v="20"/>
  </r>
  <r>
    <n v="1841"/>
    <n v="579"/>
    <s v="A100"/>
    <x v="301"/>
    <x v="2"/>
    <n v="4"/>
    <s v="TechCorp"/>
    <x v="19"/>
  </r>
  <r>
    <n v="1842"/>
    <n v="740"/>
    <s v="G700"/>
    <x v="334"/>
    <x v="1"/>
    <n v="16"/>
    <s v="ClickTech"/>
    <x v="1"/>
  </r>
  <r>
    <n v="1843"/>
    <n v="742"/>
    <s v="C2900"/>
    <x v="161"/>
    <x v="9"/>
    <n v="5"/>
    <s v="SafeDrive"/>
    <x v="21"/>
  </r>
  <r>
    <n v="1844"/>
    <n v="572"/>
    <s v="T2000"/>
    <x v="207"/>
    <x v="6"/>
    <n v="3"/>
    <s v="BrightHome"/>
    <x v="9"/>
  </r>
  <r>
    <n v="1845"/>
    <n v="714"/>
    <s v="W2300"/>
    <x v="141"/>
    <x v="3"/>
    <n v="6"/>
    <s v="ShutterPro"/>
    <x v="14"/>
  </r>
  <r>
    <n v="1846"/>
    <n v="649"/>
    <s v="T2000"/>
    <x v="38"/>
    <x v="6"/>
    <n v="15"/>
    <s v="BrightHome"/>
    <x v="9"/>
  </r>
  <r>
    <n v="1847"/>
    <n v="527"/>
    <s v="Y2500"/>
    <x v="220"/>
    <x v="1"/>
    <n v="16"/>
    <s v="ClickTech"/>
    <x v="1"/>
  </r>
  <r>
    <n v="1848"/>
    <n v="538"/>
    <s v="K1100"/>
    <x v="275"/>
    <x v="6"/>
    <n v="9"/>
    <s v="DataSafe"/>
    <x v="18"/>
  </r>
  <r>
    <n v="1849"/>
    <n v="616"/>
    <s v="E500"/>
    <x v="69"/>
    <x v="4"/>
    <n v="5"/>
    <s v="TabletMakers"/>
    <x v="5"/>
  </r>
  <r>
    <n v="1850"/>
    <n v="741"/>
    <s v="H800"/>
    <x v="183"/>
    <x v="3"/>
    <n v="4"/>
    <s v="SoundWave"/>
    <x v="4"/>
  </r>
  <r>
    <n v="1851"/>
    <n v="538"/>
    <s v="F3200"/>
    <x v="302"/>
    <x v="4"/>
    <n v="4"/>
    <s v="DockIt"/>
    <x v="20"/>
  </r>
  <r>
    <n v="1852"/>
    <n v="731"/>
    <s v="F3200"/>
    <x v="302"/>
    <x v="4"/>
    <n v="3"/>
    <s v="DockIt"/>
    <x v="20"/>
  </r>
  <r>
    <n v="1853"/>
    <n v="675"/>
    <s v="O1500"/>
    <x v="99"/>
    <x v="2"/>
    <n v="7"/>
    <s v="StreamIt"/>
    <x v="13"/>
  </r>
  <r>
    <n v="1854"/>
    <n v="629"/>
    <s v="O1500"/>
    <x v="115"/>
    <x v="2"/>
    <n v="15"/>
    <s v="StreamIt"/>
    <x v="13"/>
  </r>
  <r>
    <n v="1855"/>
    <n v="733"/>
    <s v="C2900"/>
    <x v="165"/>
    <x v="9"/>
    <n v="16"/>
    <s v="SafeDrive"/>
    <x v="21"/>
  </r>
  <r>
    <n v="1856"/>
    <n v="534"/>
    <s v="D3000"/>
    <x v="52"/>
    <x v="9"/>
    <n v="9"/>
    <s v="SafeTech"/>
    <x v="23"/>
  </r>
  <r>
    <n v="1857"/>
    <n v="658"/>
    <s v="R1800"/>
    <x v="337"/>
    <x v="3"/>
    <n v="14"/>
    <s v="SoundWave"/>
    <x v="4"/>
  </r>
  <r>
    <n v="1858"/>
    <n v="525"/>
    <s v="H3400"/>
    <x v="233"/>
    <x v="7"/>
    <n v="18"/>
    <s v="VisionTech"/>
    <x v="15"/>
  </r>
  <r>
    <n v="1859"/>
    <n v="527"/>
    <s v="B200"/>
    <x v="240"/>
    <x v="4"/>
    <n v="3"/>
    <s v="SoundCo"/>
    <x v="7"/>
  </r>
  <r>
    <n v="1860"/>
    <n v="659"/>
    <s v="Q1700"/>
    <x v="107"/>
    <x v="8"/>
    <n v="9"/>
    <s v="CleanBot"/>
    <x v="17"/>
  </r>
  <r>
    <n v="1861"/>
    <n v="506"/>
    <s v="Q1700"/>
    <x v="115"/>
    <x v="8"/>
    <n v="1"/>
    <s v="CleanBot"/>
    <x v="17"/>
  </r>
  <r>
    <n v="1862"/>
    <n v="702"/>
    <s v="I900"/>
    <x v="317"/>
    <x v="8"/>
    <n v="19"/>
    <s v="PlayMax"/>
    <x v="22"/>
  </r>
  <r>
    <n v="1863"/>
    <n v="586"/>
    <s v="G700"/>
    <x v="57"/>
    <x v="1"/>
    <n v="18"/>
    <s v="ClickTech"/>
    <x v="1"/>
  </r>
  <r>
    <n v="1864"/>
    <n v="601"/>
    <s v="A2700"/>
    <x v="182"/>
    <x v="7"/>
    <n v="18"/>
    <s v="AeroTech"/>
    <x v="12"/>
  </r>
  <r>
    <n v="1865"/>
    <n v="570"/>
    <s v="Z2600"/>
    <x v="274"/>
    <x v="4"/>
    <n v="6"/>
    <s v="SoundCo"/>
    <x v="7"/>
  </r>
  <r>
    <n v="1866"/>
    <n v="636"/>
    <s v="B200"/>
    <x v="199"/>
    <x v="4"/>
    <n v="4"/>
    <s v="SoundCo"/>
    <x v="7"/>
  </r>
  <r>
    <n v="1867"/>
    <n v="563"/>
    <s v="X2400"/>
    <x v="295"/>
    <x v="1"/>
    <n v="5"/>
    <s v="ClickTech"/>
    <x v="1"/>
  </r>
  <r>
    <n v="1868"/>
    <n v="565"/>
    <s v="E3100"/>
    <x v="294"/>
    <x v="1"/>
    <n v="6"/>
    <s v="DisplayPro"/>
    <x v="6"/>
  </r>
  <r>
    <n v="1869"/>
    <n v="698"/>
    <s v="Z2600"/>
    <x v="140"/>
    <x v="4"/>
    <n v="9"/>
    <s v="SoundCo"/>
    <x v="7"/>
  </r>
  <r>
    <n v="1870"/>
    <n v="622"/>
    <s v="B200"/>
    <x v="135"/>
    <x v="4"/>
    <n v="15"/>
    <s v="SoundCo"/>
    <x v="7"/>
  </r>
  <r>
    <n v="1871"/>
    <n v="539"/>
    <s v="A2700"/>
    <x v="119"/>
    <x v="7"/>
    <n v="7"/>
    <s v="AeroTech"/>
    <x v="12"/>
  </r>
  <r>
    <n v="1872"/>
    <n v="626"/>
    <s v="N1400"/>
    <x v="248"/>
    <x v="5"/>
    <n v="12"/>
    <s v="FitTech"/>
    <x v="8"/>
  </r>
  <r>
    <n v="1873"/>
    <n v="581"/>
    <s v="A2700"/>
    <x v="204"/>
    <x v="7"/>
    <n v="18"/>
    <s v="AeroTech"/>
    <x v="12"/>
  </r>
  <r>
    <n v="1874"/>
    <n v="697"/>
    <s v="D400"/>
    <x v="156"/>
    <x v="9"/>
    <n v="6"/>
    <s v="CompuTech"/>
    <x v="24"/>
  </r>
  <r>
    <n v="1875"/>
    <n v="712"/>
    <s v="A2700"/>
    <x v="161"/>
    <x v="7"/>
    <n v="14"/>
    <s v="AeroTech"/>
    <x v="12"/>
  </r>
  <r>
    <n v="1876"/>
    <n v="567"/>
    <s v="L1200"/>
    <x v="299"/>
    <x v="1"/>
    <n v="12"/>
    <s v="ClickTech"/>
    <x v="1"/>
  </r>
  <r>
    <n v="1877"/>
    <n v="671"/>
    <s v="X2400"/>
    <x v="321"/>
    <x v="1"/>
    <n v="2"/>
    <s v="ClickTech"/>
    <x v="1"/>
  </r>
  <r>
    <n v="1878"/>
    <n v="679"/>
    <s v="J1000"/>
    <x v="173"/>
    <x v="7"/>
    <n v="13"/>
    <s v="VisionTech"/>
    <x v="15"/>
  </r>
  <r>
    <n v="1879"/>
    <n v="502"/>
    <s v="B2800"/>
    <x v="110"/>
    <x v="5"/>
    <n v="5"/>
    <s v="BookTech"/>
    <x v="16"/>
  </r>
  <r>
    <n v="1880"/>
    <n v="559"/>
    <s v="B2800"/>
    <x v="213"/>
    <x v="5"/>
    <n v="9"/>
    <s v="BookTech"/>
    <x v="16"/>
  </r>
  <r>
    <n v="1881"/>
    <n v="662"/>
    <s v="R1800"/>
    <x v="301"/>
    <x v="3"/>
    <n v="9"/>
    <s v="SoundWave"/>
    <x v="4"/>
  </r>
  <r>
    <n v="1882"/>
    <n v="570"/>
    <s v="P1600"/>
    <x v="125"/>
    <x v="9"/>
    <n v="16"/>
    <s v="SafeTech"/>
    <x v="23"/>
  </r>
  <r>
    <n v="1883"/>
    <n v="502"/>
    <s v="Z2600"/>
    <x v="93"/>
    <x v="4"/>
    <n v="10"/>
    <s v="SoundCo"/>
    <x v="7"/>
  </r>
  <r>
    <n v="1884"/>
    <n v="616"/>
    <s v="E500"/>
    <x v="338"/>
    <x v="4"/>
    <n v="16"/>
    <s v="TabletMakers"/>
    <x v="5"/>
  </r>
  <r>
    <n v="1885"/>
    <n v="731"/>
    <s v="H3400"/>
    <x v="224"/>
    <x v="7"/>
    <n v="6"/>
    <s v="VisionTech"/>
    <x v="15"/>
  </r>
  <r>
    <n v="1886"/>
    <n v="668"/>
    <s v="P1600"/>
    <x v="230"/>
    <x v="9"/>
    <n v="13"/>
    <s v="SafeTech"/>
    <x v="23"/>
  </r>
  <r>
    <n v="1887"/>
    <n v="553"/>
    <s v="Y2500"/>
    <x v="47"/>
    <x v="1"/>
    <n v="6"/>
    <s v="ClickTech"/>
    <x v="1"/>
  </r>
  <r>
    <n v="1888"/>
    <n v="630"/>
    <s v="B2800"/>
    <x v="40"/>
    <x v="5"/>
    <n v="9"/>
    <s v="BookTech"/>
    <x v="16"/>
  </r>
  <r>
    <n v="1889"/>
    <n v="697"/>
    <s v="E500"/>
    <x v="220"/>
    <x v="4"/>
    <n v="14"/>
    <s v="TabletMakers"/>
    <x v="5"/>
  </r>
  <r>
    <n v="1890"/>
    <n v="507"/>
    <s v="B200"/>
    <x v="21"/>
    <x v="4"/>
    <n v="6"/>
    <s v="SoundCo"/>
    <x v="7"/>
  </r>
  <r>
    <n v="1891"/>
    <n v="603"/>
    <s v="G700"/>
    <x v="328"/>
    <x v="1"/>
    <n v="12"/>
    <s v="ClickTech"/>
    <x v="1"/>
  </r>
  <r>
    <n v="1892"/>
    <n v="586"/>
    <s v="G700"/>
    <x v="276"/>
    <x v="1"/>
    <n v="17"/>
    <s v="ClickTech"/>
    <x v="1"/>
  </r>
  <r>
    <n v="1893"/>
    <n v="626"/>
    <s v="M1300"/>
    <x v="163"/>
    <x v="7"/>
    <n v="18"/>
    <s v="VRWorld"/>
    <x v="11"/>
  </r>
  <r>
    <n v="1894"/>
    <n v="541"/>
    <s v="U2100"/>
    <x v="134"/>
    <x v="2"/>
    <n v="11"/>
    <s v="ChargePro"/>
    <x v="10"/>
  </r>
  <r>
    <n v="1895"/>
    <n v="518"/>
    <s v="C2900"/>
    <x v="16"/>
    <x v="9"/>
    <n v="7"/>
    <s v="SafeDrive"/>
    <x v="21"/>
  </r>
  <r>
    <n v="1896"/>
    <n v="574"/>
    <s v="V2200"/>
    <x v="227"/>
    <x v="3"/>
    <n v="17"/>
    <s v="ShutterPro"/>
    <x v="14"/>
  </r>
  <r>
    <n v="1897"/>
    <n v="685"/>
    <s v="B2800"/>
    <x v="254"/>
    <x v="5"/>
    <n v="2"/>
    <s v="BookTech"/>
    <x v="16"/>
  </r>
  <r>
    <n v="1898"/>
    <n v="589"/>
    <s v="N1400"/>
    <x v="58"/>
    <x v="5"/>
    <n v="15"/>
    <s v="FitTech"/>
    <x v="8"/>
  </r>
  <r>
    <n v="1899"/>
    <n v="588"/>
    <s v="S1900"/>
    <x v="5"/>
    <x v="1"/>
    <n v="13"/>
    <s v="GPUForce"/>
    <x v="3"/>
  </r>
  <r>
    <n v="1900"/>
    <n v="506"/>
    <s v="D400"/>
    <x v="140"/>
    <x v="9"/>
    <n v="1"/>
    <s v="CompuTech"/>
    <x v="24"/>
  </r>
  <r>
    <n v="1901"/>
    <n v="643"/>
    <s v="J1000"/>
    <x v="339"/>
    <x v="7"/>
    <n v="14"/>
    <s v="VisionTech"/>
    <x v="15"/>
  </r>
  <r>
    <n v="1902"/>
    <n v="566"/>
    <s v="J1000"/>
    <x v="340"/>
    <x v="7"/>
    <n v="17"/>
    <s v="VisionTech"/>
    <x v="15"/>
  </r>
  <r>
    <n v="1903"/>
    <n v="609"/>
    <s v="A2700"/>
    <x v="318"/>
    <x v="7"/>
    <n v="13"/>
    <s v="AeroTech"/>
    <x v="12"/>
  </r>
  <r>
    <n v="1904"/>
    <n v="636"/>
    <s v="P1600"/>
    <x v="202"/>
    <x v="9"/>
    <n v="14"/>
    <s v="SafeTech"/>
    <x v="23"/>
  </r>
  <r>
    <n v="1905"/>
    <n v="553"/>
    <s v="C300"/>
    <x v="50"/>
    <x v="0"/>
    <n v="7"/>
    <s v="Wearable Inc."/>
    <x v="0"/>
  </r>
  <r>
    <n v="1906"/>
    <n v="615"/>
    <s v="G700"/>
    <x v="117"/>
    <x v="1"/>
    <n v="1"/>
    <s v="ClickTech"/>
    <x v="1"/>
  </r>
  <r>
    <n v="1907"/>
    <n v="670"/>
    <s v="G700"/>
    <x v="341"/>
    <x v="1"/>
    <n v="9"/>
    <s v="ClickTech"/>
    <x v="1"/>
  </r>
  <r>
    <n v="1908"/>
    <n v="525"/>
    <s v="Q1700"/>
    <x v="73"/>
    <x v="8"/>
    <n v="1"/>
    <s v="CleanBot"/>
    <x v="17"/>
  </r>
  <r>
    <n v="1909"/>
    <n v="560"/>
    <s v="W2300"/>
    <x v="294"/>
    <x v="3"/>
    <n v="3"/>
    <s v="ShutterPro"/>
    <x v="14"/>
  </r>
  <r>
    <n v="1910"/>
    <n v="696"/>
    <s v="C300"/>
    <x v="285"/>
    <x v="0"/>
    <n v="16"/>
    <s v="Wearable Inc."/>
    <x v="0"/>
  </r>
  <r>
    <n v="1911"/>
    <n v="730"/>
    <s v="T2000"/>
    <x v="312"/>
    <x v="6"/>
    <n v="7"/>
    <s v="BrightHome"/>
    <x v="9"/>
  </r>
  <r>
    <n v="1912"/>
    <n v="639"/>
    <s v="A2700"/>
    <x v="97"/>
    <x v="7"/>
    <n v="4"/>
    <s v="AeroTech"/>
    <x v="12"/>
  </r>
  <r>
    <n v="1913"/>
    <n v="571"/>
    <s v="D3000"/>
    <x v="232"/>
    <x v="9"/>
    <n v="9"/>
    <s v="SafeTech"/>
    <x v="23"/>
  </r>
  <r>
    <n v="1914"/>
    <n v="652"/>
    <s v="W2300"/>
    <x v="220"/>
    <x v="3"/>
    <n v="14"/>
    <s v="ShutterPro"/>
    <x v="14"/>
  </r>
  <r>
    <n v="1915"/>
    <n v="722"/>
    <s v="P1600"/>
    <x v="339"/>
    <x v="9"/>
    <n v="20"/>
    <s v="SafeTech"/>
    <x v="23"/>
  </r>
  <r>
    <n v="1916"/>
    <n v="689"/>
    <s v="G700"/>
    <x v="288"/>
    <x v="1"/>
    <n v="20"/>
    <s v="ClickTech"/>
    <x v="1"/>
  </r>
  <r>
    <n v="1917"/>
    <n v="529"/>
    <s v="P1600"/>
    <x v="342"/>
    <x v="9"/>
    <n v="14"/>
    <s v="SafeTech"/>
    <x v="23"/>
  </r>
  <r>
    <n v="1918"/>
    <n v="563"/>
    <s v="G700"/>
    <x v="250"/>
    <x v="1"/>
    <n v="7"/>
    <s v="ClickTech"/>
    <x v="1"/>
  </r>
  <r>
    <n v="1919"/>
    <n v="647"/>
    <s v="S1900"/>
    <x v="230"/>
    <x v="1"/>
    <n v="17"/>
    <s v="GPUForce"/>
    <x v="3"/>
  </r>
  <r>
    <n v="1920"/>
    <n v="602"/>
    <s v="M1300"/>
    <x v="140"/>
    <x v="7"/>
    <n v="12"/>
    <s v="VRWorld"/>
    <x v="11"/>
  </r>
  <r>
    <n v="1921"/>
    <n v="514"/>
    <s v="O1500"/>
    <x v="164"/>
    <x v="2"/>
    <n v="12"/>
    <s v="StreamIt"/>
    <x v="13"/>
  </r>
  <r>
    <n v="1922"/>
    <n v="548"/>
    <s v="H3400"/>
    <x v="318"/>
    <x v="7"/>
    <n v="19"/>
    <s v="VisionTech"/>
    <x v="15"/>
  </r>
  <r>
    <n v="1923"/>
    <n v="511"/>
    <s v="N1400"/>
    <x v="202"/>
    <x v="5"/>
    <n v="15"/>
    <s v="FitTech"/>
    <x v="8"/>
  </r>
  <r>
    <n v="1924"/>
    <n v="605"/>
    <s v="G700"/>
    <x v="14"/>
    <x v="1"/>
    <n v="10"/>
    <s v="ClickTech"/>
    <x v="1"/>
  </r>
  <r>
    <n v="1925"/>
    <n v="697"/>
    <s v="U2100"/>
    <x v="93"/>
    <x v="2"/>
    <n v="19"/>
    <s v="ChargePro"/>
    <x v="10"/>
  </r>
  <r>
    <n v="1926"/>
    <n v="634"/>
    <s v="Q1700"/>
    <x v="323"/>
    <x v="8"/>
    <n v="6"/>
    <s v="CleanBot"/>
    <x v="17"/>
  </r>
  <r>
    <n v="1927"/>
    <n v="516"/>
    <s v="M1300"/>
    <x v="141"/>
    <x v="7"/>
    <n v="2"/>
    <s v="VRWorld"/>
    <x v="11"/>
  </r>
  <r>
    <n v="1928"/>
    <n v="544"/>
    <s v="T2000"/>
    <x v="135"/>
    <x v="6"/>
    <n v="9"/>
    <s v="BrightHome"/>
    <x v="9"/>
  </r>
  <r>
    <n v="1929"/>
    <n v="605"/>
    <s v="A2700"/>
    <x v="343"/>
    <x v="7"/>
    <n v="12"/>
    <s v="AeroTech"/>
    <x v="12"/>
  </r>
  <r>
    <n v="1930"/>
    <n v="676"/>
    <s v="H800"/>
    <x v="101"/>
    <x v="3"/>
    <n v="17"/>
    <s v="SoundWave"/>
    <x v="4"/>
  </r>
  <r>
    <n v="1931"/>
    <n v="582"/>
    <s v="H3400"/>
    <x v="13"/>
    <x v="7"/>
    <n v="5"/>
    <s v="VisionTech"/>
    <x v="15"/>
  </r>
  <r>
    <n v="1932"/>
    <n v="717"/>
    <s v="Q1700"/>
    <x v="291"/>
    <x v="8"/>
    <n v="12"/>
    <s v="CleanBot"/>
    <x v="17"/>
  </r>
  <r>
    <n v="1933"/>
    <n v="607"/>
    <s v="R1800"/>
    <x v="344"/>
    <x v="3"/>
    <n v="16"/>
    <s v="SoundWave"/>
    <x v="4"/>
  </r>
  <r>
    <n v="1934"/>
    <n v="637"/>
    <s v="D3000"/>
    <x v="36"/>
    <x v="9"/>
    <n v="12"/>
    <s v="SafeTech"/>
    <x v="23"/>
  </r>
  <r>
    <n v="1935"/>
    <n v="576"/>
    <s v="L1200"/>
    <x v="316"/>
    <x v="1"/>
    <n v="20"/>
    <s v="ClickTech"/>
    <x v="1"/>
  </r>
  <r>
    <n v="1936"/>
    <n v="687"/>
    <s v="Y2500"/>
    <x v="215"/>
    <x v="1"/>
    <n v="12"/>
    <s v="ClickTech"/>
    <x v="1"/>
  </r>
  <r>
    <n v="1937"/>
    <n v="685"/>
    <s v="D3000"/>
    <x v="242"/>
    <x v="9"/>
    <n v="14"/>
    <s v="SafeTech"/>
    <x v="23"/>
  </r>
  <r>
    <n v="1938"/>
    <n v="695"/>
    <s v="F3200"/>
    <x v="151"/>
    <x v="4"/>
    <n v="7"/>
    <s v="DockIt"/>
    <x v="20"/>
  </r>
  <r>
    <n v="1939"/>
    <n v="700"/>
    <s v="C2900"/>
    <x v="176"/>
    <x v="9"/>
    <n v="4"/>
    <s v="SafeDrive"/>
    <x v="21"/>
  </r>
  <r>
    <n v="1940"/>
    <n v="530"/>
    <s v="X2400"/>
    <x v="23"/>
    <x v="1"/>
    <n v="6"/>
    <s v="ClickTech"/>
    <x v="1"/>
  </r>
  <r>
    <n v="1941"/>
    <n v="585"/>
    <s v="M1300"/>
    <x v="208"/>
    <x v="7"/>
    <n v="3"/>
    <s v="VRWorld"/>
    <x v="11"/>
  </r>
  <r>
    <n v="1942"/>
    <n v="575"/>
    <s v="J1000"/>
    <x v="268"/>
    <x v="7"/>
    <n v="11"/>
    <s v="VisionTech"/>
    <x v="15"/>
  </r>
  <r>
    <n v="1943"/>
    <n v="737"/>
    <s v="E3100"/>
    <x v="132"/>
    <x v="1"/>
    <n v="6"/>
    <s v="DisplayPro"/>
    <x v="6"/>
  </r>
  <r>
    <n v="1944"/>
    <n v="728"/>
    <s v="C2900"/>
    <x v="58"/>
    <x v="9"/>
    <n v="1"/>
    <s v="SafeDrive"/>
    <x v="21"/>
  </r>
  <r>
    <n v="1945"/>
    <n v="639"/>
    <s v="B200"/>
    <x v="325"/>
    <x v="4"/>
    <n v="11"/>
    <s v="SoundCo"/>
    <x v="7"/>
  </r>
  <r>
    <n v="1946"/>
    <n v="501"/>
    <s v="B200"/>
    <x v="185"/>
    <x v="4"/>
    <n v="19"/>
    <s v="SoundCo"/>
    <x v="7"/>
  </r>
  <r>
    <n v="1947"/>
    <n v="657"/>
    <s v="G3300"/>
    <x v="186"/>
    <x v="2"/>
    <n v="18"/>
    <s v="PhotoFrame Inc."/>
    <x v="2"/>
  </r>
  <r>
    <n v="1948"/>
    <n v="566"/>
    <s v="G700"/>
    <x v="24"/>
    <x v="1"/>
    <n v="8"/>
    <s v="ClickTech"/>
    <x v="1"/>
  </r>
  <r>
    <n v="1949"/>
    <n v="748"/>
    <s v="V2200"/>
    <x v="208"/>
    <x v="3"/>
    <n v="10"/>
    <s v="ShutterPro"/>
    <x v="14"/>
  </r>
  <r>
    <n v="1950"/>
    <n v="632"/>
    <s v="Z2600"/>
    <x v="165"/>
    <x v="4"/>
    <n v="9"/>
    <s v="SoundCo"/>
    <x v="7"/>
  </r>
  <r>
    <n v="1951"/>
    <n v="657"/>
    <s v="K1100"/>
    <x v="324"/>
    <x v="6"/>
    <n v="4"/>
    <s v="DataSafe"/>
    <x v="18"/>
  </r>
  <r>
    <n v="1952"/>
    <n v="680"/>
    <s v="I900"/>
    <x v="161"/>
    <x v="8"/>
    <n v="17"/>
    <s v="PlayMax"/>
    <x v="22"/>
  </r>
  <r>
    <n v="1953"/>
    <n v="552"/>
    <s v="C2900"/>
    <x v="251"/>
    <x v="9"/>
    <n v="18"/>
    <s v="SafeDrive"/>
    <x v="21"/>
  </r>
  <r>
    <n v="1954"/>
    <n v="636"/>
    <s v="G700"/>
    <x v="202"/>
    <x v="1"/>
    <n v="1"/>
    <s v="ClickTech"/>
    <x v="1"/>
  </r>
  <r>
    <n v="1955"/>
    <n v="654"/>
    <s v="D400"/>
    <x v="116"/>
    <x v="9"/>
    <n v="12"/>
    <s v="CompuTech"/>
    <x v="24"/>
  </r>
  <r>
    <n v="1956"/>
    <n v="544"/>
    <s v="P1600"/>
    <x v="52"/>
    <x v="9"/>
    <n v="12"/>
    <s v="SafeTech"/>
    <x v="23"/>
  </r>
  <r>
    <n v="1957"/>
    <n v="628"/>
    <s v="T2000"/>
    <x v="6"/>
    <x v="6"/>
    <n v="20"/>
    <s v="BrightHome"/>
    <x v="9"/>
  </r>
  <r>
    <n v="1958"/>
    <n v="724"/>
    <s v="B2800"/>
    <x v="199"/>
    <x v="5"/>
    <n v="4"/>
    <s v="BookTech"/>
    <x v="16"/>
  </r>
  <r>
    <n v="1959"/>
    <n v="524"/>
    <s v="D400"/>
    <x v="321"/>
    <x v="9"/>
    <n v="1"/>
    <s v="CompuTech"/>
    <x v="24"/>
  </r>
  <r>
    <n v="1960"/>
    <n v="744"/>
    <s v="P1600"/>
    <x v="101"/>
    <x v="9"/>
    <n v="4"/>
    <s v="SafeTech"/>
    <x v="23"/>
  </r>
  <r>
    <n v="1961"/>
    <n v="659"/>
    <s v="B200"/>
    <x v="124"/>
    <x v="4"/>
    <n v="12"/>
    <s v="SoundCo"/>
    <x v="7"/>
  </r>
  <r>
    <n v="1962"/>
    <n v="683"/>
    <s v="A100"/>
    <x v="214"/>
    <x v="2"/>
    <n v="1"/>
    <s v="TechCorp"/>
    <x v="19"/>
  </r>
  <r>
    <n v="1963"/>
    <n v="683"/>
    <s v="N1400"/>
    <x v="142"/>
    <x v="5"/>
    <n v="3"/>
    <s v="FitTech"/>
    <x v="8"/>
  </r>
  <r>
    <n v="1964"/>
    <n v="725"/>
    <s v="W2300"/>
    <x v="211"/>
    <x v="3"/>
    <n v="7"/>
    <s v="ShutterPro"/>
    <x v="14"/>
  </r>
  <r>
    <n v="1965"/>
    <n v="718"/>
    <s v="R1800"/>
    <x v="109"/>
    <x v="3"/>
    <n v="1"/>
    <s v="SoundWave"/>
    <x v="4"/>
  </r>
  <r>
    <n v="1966"/>
    <n v="520"/>
    <s v="F600"/>
    <x v="324"/>
    <x v="2"/>
    <n v="19"/>
    <s v="ChargePro"/>
    <x v="10"/>
  </r>
  <r>
    <n v="1967"/>
    <n v="551"/>
    <s v="Y2500"/>
    <x v="250"/>
    <x v="1"/>
    <n v="14"/>
    <s v="ClickTech"/>
    <x v="1"/>
  </r>
  <r>
    <n v="1968"/>
    <n v="532"/>
    <s v="H3400"/>
    <x v="234"/>
    <x v="7"/>
    <n v="8"/>
    <s v="VisionTech"/>
    <x v="15"/>
  </r>
  <r>
    <n v="1969"/>
    <n v="571"/>
    <s v="Z2600"/>
    <x v="133"/>
    <x v="4"/>
    <n v="9"/>
    <s v="SoundCo"/>
    <x v="7"/>
  </r>
  <r>
    <n v="1970"/>
    <n v="525"/>
    <s v="T2000"/>
    <x v="235"/>
    <x v="6"/>
    <n v="5"/>
    <s v="BrightHome"/>
    <x v="9"/>
  </r>
  <r>
    <n v="1971"/>
    <n v="593"/>
    <s v="M1300"/>
    <x v="37"/>
    <x v="7"/>
    <n v="4"/>
    <s v="VRWorld"/>
    <x v="11"/>
  </r>
  <r>
    <n v="1972"/>
    <n v="655"/>
    <s v="K1100"/>
    <x v="2"/>
    <x v="6"/>
    <n v="14"/>
    <s v="DataSafe"/>
    <x v="18"/>
  </r>
  <r>
    <n v="1973"/>
    <n v="679"/>
    <s v="G700"/>
    <x v="329"/>
    <x v="1"/>
    <n v="12"/>
    <s v="ClickTech"/>
    <x v="1"/>
  </r>
  <r>
    <n v="1974"/>
    <n v="617"/>
    <s v="Q1700"/>
    <x v="222"/>
    <x v="8"/>
    <n v="6"/>
    <s v="CleanBot"/>
    <x v="17"/>
  </r>
  <r>
    <n v="1975"/>
    <n v="710"/>
    <s v="F600"/>
    <x v="180"/>
    <x v="2"/>
    <n v="1"/>
    <s v="ChargePro"/>
    <x v="10"/>
  </r>
  <r>
    <n v="1976"/>
    <n v="560"/>
    <s v="V2200"/>
    <x v="111"/>
    <x v="3"/>
    <n v="12"/>
    <s v="ShutterPro"/>
    <x v="14"/>
  </r>
  <r>
    <n v="1977"/>
    <n v="737"/>
    <s v="D3000"/>
    <x v="164"/>
    <x v="9"/>
    <n v="11"/>
    <s v="SafeTech"/>
    <x v="23"/>
  </r>
  <r>
    <n v="1978"/>
    <n v="606"/>
    <s v="G3300"/>
    <x v="262"/>
    <x v="2"/>
    <n v="5"/>
    <s v="PhotoFrame Inc."/>
    <x v="2"/>
  </r>
  <r>
    <n v="1979"/>
    <n v="670"/>
    <s v="I900"/>
    <x v="301"/>
    <x v="8"/>
    <n v="15"/>
    <s v="PlayMax"/>
    <x v="22"/>
  </r>
  <r>
    <n v="1980"/>
    <n v="653"/>
    <s v="W2300"/>
    <x v="148"/>
    <x v="3"/>
    <n v="13"/>
    <s v="ShutterPro"/>
    <x v="14"/>
  </r>
  <r>
    <n v="1981"/>
    <n v="584"/>
    <s v="G3300"/>
    <x v="54"/>
    <x v="2"/>
    <n v="4"/>
    <s v="PhotoFrame Inc."/>
    <x v="2"/>
  </r>
  <r>
    <n v="1982"/>
    <n v="510"/>
    <s v="W2300"/>
    <x v="260"/>
    <x v="3"/>
    <n v="16"/>
    <s v="ShutterPro"/>
    <x v="14"/>
  </r>
  <r>
    <n v="1983"/>
    <n v="734"/>
    <s v="G3300"/>
    <x v="13"/>
    <x v="2"/>
    <n v="13"/>
    <s v="PhotoFrame Inc."/>
    <x v="2"/>
  </r>
  <r>
    <n v="1984"/>
    <n v="659"/>
    <s v="Y2500"/>
    <x v="234"/>
    <x v="1"/>
    <n v="6"/>
    <s v="ClickTech"/>
    <x v="1"/>
  </r>
  <r>
    <n v="1985"/>
    <n v="697"/>
    <s v="H3400"/>
    <x v="204"/>
    <x v="7"/>
    <n v="13"/>
    <s v="VisionTech"/>
    <x v="15"/>
  </r>
  <r>
    <n v="1986"/>
    <n v="653"/>
    <s v="Z2600"/>
    <x v="21"/>
    <x v="4"/>
    <n v="16"/>
    <s v="SoundCo"/>
    <x v="7"/>
  </r>
  <r>
    <n v="1987"/>
    <n v="697"/>
    <s v="A100"/>
    <x v="116"/>
    <x v="2"/>
    <n v="4"/>
    <s v="TechCorp"/>
    <x v="19"/>
  </r>
  <r>
    <n v="1988"/>
    <n v="583"/>
    <s v="B2800"/>
    <x v="138"/>
    <x v="5"/>
    <n v="2"/>
    <s v="BookTech"/>
    <x v="16"/>
  </r>
  <r>
    <n v="1989"/>
    <n v="599"/>
    <s v="E3100"/>
    <x v="187"/>
    <x v="1"/>
    <n v="8"/>
    <s v="DisplayPro"/>
    <x v="6"/>
  </r>
  <r>
    <n v="1990"/>
    <n v="632"/>
    <s v="L1200"/>
    <x v="77"/>
    <x v="1"/>
    <n v="17"/>
    <s v="ClickTech"/>
    <x v="1"/>
  </r>
  <r>
    <n v="1991"/>
    <n v="520"/>
    <s v="H3400"/>
    <x v="261"/>
    <x v="7"/>
    <n v="17"/>
    <s v="VisionTech"/>
    <x v="15"/>
  </r>
  <r>
    <n v="1992"/>
    <n v="621"/>
    <s v="B2800"/>
    <x v="345"/>
    <x v="5"/>
    <n v="3"/>
    <s v="BookTech"/>
    <x v="16"/>
  </r>
  <r>
    <n v="1993"/>
    <n v="651"/>
    <s v="V2200"/>
    <x v="3"/>
    <x v="3"/>
    <n v="5"/>
    <s v="ShutterPro"/>
    <x v="14"/>
  </r>
  <r>
    <n v="1994"/>
    <n v="577"/>
    <s v="M1300"/>
    <x v="283"/>
    <x v="7"/>
    <n v="13"/>
    <s v="VRWorld"/>
    <x v="11"/>
  </r>
  <r>
    <n v="1995"/>
    <n v="560"/>
    <s v="P1600"/>
    <x v="269"/>
    <x v="9"/>
    <n v="14"/>
    <s v="SafeTech"/>
    <x v="23"/>
  </r>
  <r>
    <n v="1996"/>
    <n v="647"/>
    <s v="E3100"/>
    <x v="158"/>
    <x v="1"/>
    <n v="3"/>
    <s v="DisplayPro"/>
    <x v="6"/>
  </r>
  <r>
    <n v="1997"/>
    <n v="627"/>
    <s v="C2900"/>
    <x v="183"/>
    <x v="9"/>
    <n v="16"/>
    <s v="SafeDrive"/>
    <x v="21"/>
  </r>
  <r>
    <n v="1998"/>
    <n v="666"/>
    <s v="M1300"/>
    <x v="346"/>
    <x v="7"/>
    <n v="10"/>
    <s v="VRWorld"/>
    <x v="11"/>
  </r>
  <r>
    <n v="1999"/>
    <n v="670"/>
    <s v="M1300"/>
    <x v="235"/>
    <x v="7"/>
    <n v="12"/>
    <s v="VRWorld"/>
    <x v="11"/>
  </r>
  <r>
    <n v="2000"/>
    <n v="713"/>
    <s v="Z2600"/>
    <x v="33"/>
    <x v="4"/>
    <n v="17"/>
    <s v="SoundCo"/>
    <x v="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001"/>
    <n v="612"/>
    <x v="0"/>
    <d v="2024-05-06T00:00:00"/>
    <n v="14"/>
  </r>
  <r>
    <n v="1002"/>
    <n v="516"/>
    <x v="0"/>
    <d v="2024-08-08T00:00:00"/>
    <n v="19"/>
  </r>
  <r>
    <n v="1003"/>
    <n v="545"/>
    <x v="1"/>
    <d v="2024-05-14T00:00:00"/>
    <n v="5"/>
  </r>
  <r>
    <n v="1004"/>
    <n v="544"/>
    <x v="2"/>
    <d v="2024-12-26T00:00:00"/>
    <n v="7"/>
  </r>
  <r>
    <n v="1005"/>
    <n v="545"/>
    <x v="3"/>
    <d v="2024-08-29T00:00:00"/>
    <n v="12"/>
  </r>
  <r>
    <n v="1006"/>
    <n v="594"/>
    <x v="4"/>
    <d v="2024-04-19T00:00:00"/>
    <n v="12"/>
  </r>
  <r>
    <n v="1007"/>
    <n v="661"/>
    <x v="5"/>
    <d v="2024-12-22T00:00:00"/>
    <n v="2"/>
  </r>
  <r>
    <n v="1008"/>
    <n v="726"/>
    <x v="6"/>
    <d v="2024-02-29T00:00:00"/>
    <n v="8"/>
  </r>
  <r>
    <n v="1009"/>
    <n v="506"/>
    <x v="7"/>
    <d v="2024-12-12T00:00:00"/>
    <n v="6"/>
  </r>
  <r>
    <n v="1010"/>
    <n v="693"/>
    <x v="8"/>
    <d v="2024-07-12T00:00:00"/>
    <n v="7"/>
  </r>
  <r>
    <n v="1011"/>
    <n v="522"/>
    <x v="8"/>
    <d v="2024-08-27T00:00:00"/>
    <n v="18"/>
  </r>
  <r>
    <n v="1012"/>
    <n v="633"/>
    <x v="9"/>
    <d v="2024-08-09T00:00:00"/>
    <n v="20"/>
  </r>
  <r>
    <n v="1013"/>
    <n v="610"/>
    <x v="10"/>
    <d v="2024-01-02T00:00:00"/>
    <n v="1"/>
  </r>
  <r>
    <n v="1014"/>
    <n v="703"/>
    <x v="11"/>
    <d v="2024-04-29T00:00:00"/>
    <n v="15"/>
  </r>
  <r>
    <n v="1015"/>
    <n v="546"/>
    <x v="9"/>
    <d v="2024-08-10T00:00:00"/>
    <n v="3"/>
  </r>
  <r>
    <n v="1016"/>
    <n v="667"/>
    <x v="12"/>
    <d v="2024-10-22T00:00:00"/>
    <n v="15"/>
  </r>
  <r>
    <n v="1017"/>
    <n v="647"/>
    <x v="9"/>
    <d v="2024-03-27T00:00:00"/>
    <n v="19"/>
  </r>
  <r>
    <n v="1018"/>
    <n v="739"/>
    <x v="13"/>
    <d v="2024-09-03T00:00:00"/>
    <n v="5"/>
  </r>
  <r>
    <n v="1019"/>
    <n v="616"/>
    <x v="14"/>
    <d v="2024-10-05T00:00:00"/>
    <n v="5"/>
  </r>
  <r>
    <n v="1020"/>
    <n v="561"/>
    <x v="15"/>
    <d v="2024-05-25T00:00:00"/>
    <n v="5"/>
  </r>
  <r>
    <n v="1021"/>
    <n v="601"/>
    <x v="16"/>
    <d v="2024-05-26T00:00:00"/>
    <n v="12"/>
  </r>
  <r>
    <n v="1022"/>
    <n v="527"/>
    <x v="17"/>
    <d v="2024-12-14T00:00:00"/>
    <n v="20"/>
  </r>
  <r>
    <n v="1023"/>
    <n v="649"/>
    <x v="18"/>
    <d v="2024-07-21T00:00:00"/>
    <n v="18"/>
  </r>
  <r>
    <n v="1024"/>
    <n v="583"/>
    <x v="11"/>
    <d v="2024-08-15T00:00:00"/>
    <n v="8"/>
  </r>
  <r>
    <n v="1025"/>
    <n v="713"/>
    <x v="4"/>
    <d v="2024-04-07T00:00:00"/>
    <n v="2"/>
  </r>
  <r>
    <n v="1026"/>
    <n v="549"/>
    <x v="14"/>
    <d v="2024-08-06T00:00:00"/>
    <n v="6"/>
  </r>
  <r>
    <n v="1027"/>
    <n v="544"/>
    <x v="15"/>
    <d v="2024-09-22T00:00:00"/>
    <n v="16"/>
  </r>
  <r>
    <n v="1028"/>
    <n v="636"/>
    <x v="19"/>
    <d v="2024-01-18T00:00:00"/>
    <n v="5"/>
  </r>
  <r>
    <n v="1029"/>
    <n v="577"/>
    <x v="2"/>
    <d v="2024-05-14T00:00:00"/>
    <n v="14"/>
  </r>
  <r>
    <n v="1030"/>
    <n v="615"/>
    <x v="6"/>
    <d v="2024-02-09T00:00:00"/>
    <n v="20"/>
  </r>
  <r>
    <n v="1031"/>
    <n v="637"/>
    <x v="20"/>
    <d v="2024-06-13T00:00:00"/>
    <n v="6"/>
  </r>
  <r>
    <n v="1032"/>
    <n v="524"/>
    <x v="21"/>
    <d v="2024-04-16T00:00:00"/>
    <n v="17"/>
  </r>
  <r>
    <n v="1033"/>
    <n v="700"/>
    <x v="8"/>
    <d v="2024-11-16T00:00:00"/>
    <n v="12"/>
  </r>
  <r>
    <n v="1034"/>
    <n v="722"/>
    <x v="3"/>
    <d v="2024-04-05T00:00:00"/>
    <n v="15"/>
  </r>
  <r>
    <n v="1035"/>
    <n v="689"/>
    <x v="5"/>
    <d v="2024-02-17T00:00:00"/>
    <n v="8"/>
  </r>
  <r>
    <n v="1036"/>
    <n v="638"/>
    <x v="22"/>
    <d v="2024-10-25T00:00:00"/>
    <n v="14"/>
  </r>
  <r>
    <n v="1037"/>
    <n v="528"/>
    <x v="3"/>
    <d v="2024-08-19T00:00:00"/>
    <n v="17"/>
  </r>
  <r>
    <n v="1038"/>
    <n v="638"/>
    <x v="3"/>
    <d v="2024-12-26T00:00:00"/>
    <n v="6"/>
  </r>
  <r>
    <n v="1039"/>
    <n v="634"/>
    <x v="23"/>
    <d v="2024-10-15T00:00:00"/>
    <n v="19"/>
  </r>
  <r>
    <n v="1040"/>
    <n v="733"/>
    <x v="1"/>
    <d v="2024-05-11T00:00:00"/>
    <n v="10"/>
  </r>
  <r>
    <n v="1041"/>
    <n v="739"/>
    <x v="8"/>
    <d v="2024-02-06T00:00:00"/>
    <n v="13"/>
  </r>
  <r>
    <n v="1042"/>
    <n v="566"/>
    <x v="10"/>
    <d v="2024-02-26T00:00:00"/>
    <n v="8"/>
  </r>
  <r>
    <n v="1043"/>
    <n v="571"/>
    <x v="16"/>
    <d v="2024-09-13T00:00:00"/>
    <n v="18"/>
  </r>
  <r>
    <n v="1044"/>
    <n v="696"/>
    <x v="19"/>
    <d v="2024-12-26T00:00:00"/>
    <n v="14"/>
  </r>
  <r>
    <n v="1045"/>
    <n v="521"/>
    <x v="7"/>
    <d v="2024-01-26T00:00:00"/>
    <n v="5"/>
  </r>
  <r>
    <n v="1046"/>
    <n v="514"/>
    <x v="19"/>
    <d v="2024-06-04T00:00:00"/>
    <n v="14"/>
  </r>
  <r>
    <n v="1047"/>
    <n v="572"/>
    <x v="23"/>
    <d v="2024-05-24T00:00:00"/>
    <n v="15"/>
  </r>
  <r>
    <n v="1048"/>
    <n v="725"/>
    <x v="23"/>
    <d v="2024-04-22T00:00:00"/>
    <n v="18"/>
  </r>
  <r>
    <n v="1049"/>
    <n v="564"/>
    <x v="24"/>
    <d v="2024-09-12T00:00:00"/>
    <n v="9"/>
  </r>
  <r>
    <n v="1050"/>
    <n v="530"/>
    <x v="25"/>
    <d v="2024-11-02T00:00:00"/>
    <n v="18"/>
  </r>
  <r>
    <n v="1051"/>
    <n v="606"/>
    <x v="14"/>
    <d v="2024-11-01T00:00:00"/>
    <n v="10"/>
  </r>
  <r>
    <n v="1052"/>
    <n v="563"/>
    <x v="26"/>
    <d v="2024-09-27T00:00:00"/>
    <n v="1"/>
  </r>
  <r>
    <n v="1053"/>
    <n v="633"/>
    <x v="13"/>
    <d v="2024-10-30T00:00:00"/>
    <n v="7"/>
  </r>
  <r>
    <n v="1054"/>
    <n v="708"/>
    <x v="22"/>
    <d v="2024-05-27T00:00:00"/>
    <n v="7"/>
  </r>
  <r>
    <n v="1055"/>
    <n v="733"/>
    <x v="13"/>
    <d v="2024-08-11T00:00:00"/>
    <n v="16"/>
  </r>
  <r>
    <n v="1056"/>
    <n v="543"/>
    <x v="27"/>
    <d v="2024-10-01T00:00:00"/>
    <n v="4"/>
  </r>
  <r>
    <n v="1057"/>
    <n v="673"/>
    <x v="28"/>
    <d v="2024-01-16T00:00:00"/>
    <n v="13"/>
  </r>
  <r>
    <n v="1058"/>
    <n v="632"/>
    <x v="29"/>
    <d v="2024-05-14T00:00:00"/>
    <n v="1"/>
  </r>
  <r>
    <n v="1059"/>
    <n v="534"/>
    <x v="13"/>
    <d v="2024-05-16T00:00:00"/>
    <n v="3"/>
  </r>
  <r>
    <n v="1060"/>
    <n v="683"/>
    <x v="0"/>
    <d v="2024-11-15T00:00:00"/>
    <n v="19"/>
  </r>
  <r>
    <n v="1061"/>
    <n v="599"/>
    <x v="1"/>
    <d v="2024-07-03T00:00:00"/>
    <n v="4"/>
  </r>
  <r>
    <n v="1062"/>
    <n v="541"/>
    <x v="16"/>
    <d v="2024-06-27T00:00:00"/>
    <n v="12"/>
  </r>
  <r>
    <n v="1063"/>
    <n v="558"/>
    <x v="19"/>
    <d v="2024-06-30T00:00:00"/>
    <n v="1"/>
  </r>
  <r>
    <n v="1064"/>
    <n v="656"/>
    <x v="30"/>
    <d v="2024-08-30T00:00:00"/>
    <n v="18"/>
  </r>
  <r>
    <n v="1065"/>
    <n v="697"/>
    <x v="31"/>
    <d v="2024-03-27T00:00:00"/>
    <n v="6"/>
  </r>
  <r>
    <n v="1066"/>
    <n v="726"/>
    <x v="32"/>
    <d v="2024-03-13T00:00:00"/>
    <n v="11"/>
  </r>
  <r>
    <n v="1067"/>
    <n v="581"/>
    <x v="9"/>
    <d v="2024-12-14T00:00:00"/>
    <n v="9"/>
  </r>
  <r>
    <n v="1068"/>
    <n v="717"/>
    <x v="4"/>
    <d v="2024-01-06T00:00:00"/>
    <n v="13"/>
  </r>
  <r>
    <n v="1069"/>
    <n v="596"/>
    <x v="33"/>
    <d v="2024-07-31T00:00:00"/>
    <n v="8"/>
  </r>
  <r>
    <n v="1070"/>
    <n v="739"/>
    <x v="20"/>
    <d v="2024-09-19T00:00:00"/>
    <n v="14"/>
  </r>
  <r>
    <n v="1071"/>
    <n v="589"/>
    <x v="17"/>
    <d v="2024-03-31T00:00:00"/>
    <n v="12"/>
  </r>
  <r>
    <n v="1072"/>
    <n v="507"/>
    <x v="26"/>
    <d v="2024-09-12T00:00:00"/>
    <n v="12"/>
  </r>
  <r>
    <n v="1073"/>
    <n v="603"/>
    <x v="20"/>
    <d v="2024-03-27T00:00:00"/>
    <n v="14"/>
  </r>
  <r>
    <n v="1074"/>
    <n v="733"/>
    <x v="23"/>
    <d v="2024-06-26T00:00:00"/>
    <n v="15"/>
  </r>
  <r>
    <n v="1075"/>
    <n v="734"/>
    <x v="1"/>
    <d v="2024-02-16T00:00:00"/>
    <n v="17"/>
  </r>
  <r>
    <n v="1076"/>
    <n v="707"/>
    <x v="4"/>
    <d v="2024-11-04T00:00:00"/>
    <n v="19"/>
  </r>
  <r>
    <n v="1077"/>
    <n v="713"/>
    <x v="5"/>
    <d v="2024-01-12T00:00:00"/>
    <n v="4"/>
  </r>
  <r>
    <n v="1078"/>
    <n v="658"/>
    <x v="21"/>
    <d v="2024-05-27T00:00:00"/>
    <n v="20"/>
  </r>
  <r>
    <n v="1079"/>
    <n v="722"/>
    <x v="1"/>
    <d v="2024-06-19T00:00:00"/>
    <n v="7"/>
  </r>
  <r>
    <n v="1080"/>
    <n v="740"/>
    <x v="28"/>
    <d v="2024-07-01T00:00:00"/>
    <n v="11"/>
  </r>
  <r>
    <n v="1081"/>
    <n v="511"/>
    <x v="23"/>
    <d v="2024-11-30T00:00:00"/>
    <n v="9"/>
  </r>
  <r>
    <n v="1082"/>
    <n v="585"/>
    <x v="24"/>
    <d v="2024-02-12T00:00:00"/>
    <n v="14"/>
  </r>
  <r>
    <n v="1083"/>
    <n v="708"/>
    <x v="17"/>
    <d v="2024-10-13T00:00:00"/>
    <n v="6"/>
  </r>
  <r>
    <n v="1084"/>
    <n v="653"/>
    <x v="6"/>
    <d v="2024-03-27T00:00:00"/>
    <n v="19"/>
  </r>
  <r>
    <n v="1085"/>
    <n v="744"/>
    <x v="32"/>
    <d v="2024-07-17T00:00:00"/>
    <n v="20"/>
  </r>
  <r>
    <n v="1086"/>
    <n v="636"/>
    <x v="31"/>
    <d v="2024-02-27T00:00:00"/>
    <n v="9"/>
  </r>
  <r>
    <n v="1087"/>
    <n v="516"/>
    <x v="33"/>
    <d v="2024-06-30T00:00:00"/>
    <n v="17"/>
  </r>
  <r>
    <n v="1088"/>
    <n v="716"/>
    <x v="13"/>
    <d v="2024-10-10T00:00:00"/>
    <n v="11"/>
  </r>
  <r>
    <n v="1089"/>
    <n v="577"/>
    <x v="6"/>
    <d v="2024-07-22T00:00:00"/>
    <n v="14"/>
  </r>
  <r>
    <n v="1090"/>
    <n v="535"/>
    <x v="13"/>
    <d v="2024-11-04T00:00:00"/>
    <n v="12"/>
  </r>
  <r>
    <n v="1091"/>
    <n v="718"/>
    <x v="0"/>
    <d v="2024-11-12T00:00:00"/>
    <n v="12"/>
  </r>
  <r>
    <n v="1092"/>
    <n v="595"/>
    <x v="28"/>
    <d v="2024-10-30T00:00:00"/>
    <n v="7"/>
  </r>
  <r>
    <n v="1093"/>
    <n v="652"/>
    <x v="31"/>
    <d v="2024-09-29T00:00:00"/>
    <n v="16"/>
  </r>
  <r>
    <n v="1094"/>
    <n v="684"/>
    <x v="22"/>
    <d v="2024-12-11T00:00:00"/>
    <n v="8"/>
  </r>
  <r>
    <n v="1095"/>
    <n v="571"/>
    <x v="30"/>
    <d v="2024-08-08T00:00:00"/>
    <n v="17"/>
  </r>
  <r>
    <n v="1096"/>
    <n v="704"/>
    <x v="21"/>
    <d v="2024-08-26T00:00:00"/>
    <n v="14"/>
  </r>
  <r>
    <n v="1097"/>
    <n v="533"/>
    <x v="11"/>
    <d v="2024-01-24T00:00:00"/>
    <n v="13"/>
  </r>
  <r>
    <n v="1098"/>
    <n v="691"/>
    <x v="11"/>
    <d v="2024-05-02T00:00:00"/>
    <n v="18"/>
  </r>
  <r>
    <n v="1099"/>
    <n v="723"/>
    <x v="9"/>
    <d v="2024-05-22T00:00:00"/>
    <n v="17"/>
  </r>
  <r>
    <n v="1100"/>
    <n v="731"/>
    <x v="18"/>
    <d v="2024-05-10T00:00:00"/>
    <n v="16"/>
  </r>
  <r>
    <n v="1101"/>
    <n v="687"/>
    <x v="27"/>
    <d v="2024-03-03T00:00:00"/>
    <n v="16"/>
  </r>
  <r>
    <n v="1102"/>
    <n v="509"/>
    <x v="18"/>
    <d v="2024-11-17T00:00:00"/>
    <n v="3"/>
  </r>
  <r>
    <n v="1103"/>
    <n v="572"/>
    <x v="29"/>
    <d v="2024-09-07T00:00:00"/>
    <n v="6"/>
  </r>
  <r>
    <n v="1104"/>
    <n v="596"/>
    <x v="1"/>
    <d v="2024-06-21T00:00:00"/>
    <n v="9"/>
  </r>
  <r>
    <n v="1105"/>
    <n v="575"/>
    <x v="15"/>
    <d v="2024-01-14T00:00:00"/>
    <n v="16"/>
  </r>
  <r>
    <n v="1106"/>
    <n v="587"/>
    <x v="22"/>
    <d v="2024-03-12T00:00:00"/>
    <n v="7"/>
  </r>
  <r>
    <n v="1107"/>
    <n v="655"/>
    <x v="6"/>
    <d v="2024-10-18T00:00:00"/>
    <n v="5"/>
  </r>
  <r>
    <n v="1108"/>
    <n v="623"/>
    <x v="3"/>
    <d v="2024-11-30T00:00:00"/>
    <n v="3"/>
  </r>
  <r>
    <n v="1109"/>
    <n v="651"/>
    <x v="6"/>
    <d v="2024-11-20T00:00:00"/>
    <n v="13"/>
  </r>
  <r>
    <n v="1110"/>
    <n v="642"/>
    <x v="9"/>
    <d v="2024-06-14T00:00:00"/>
    <n v="2"/>
  </r>
  <r>
    <n v="1111"/>
    <n v="514"/>
    <x v="17"/>
    <d v="2024-07-12T00:00:00"/>
    <n v="1"/>
  </r>
  <r>
    <n v="1112"/>
    <n v="575"/>
    <x v="11"/>
    <d v="2024-05-06T00:00:00"/>
    <n v="17"/>
  </r>
  <r>
    <n v="1113"/>
    <n v="745"/>
    <x v="28"/>
    <d v="2024-06-27T00:00:00"/>
    <n v="5"/>
  </r>
  <r>
    <n v="1114"/>
    <n v="719"/>
    <x v="31"/>
    <d v="2024-07-09T00:00:00"/>
    <n v="5"/>
  </r>
  <r>
    <n v="1115"/>
    <n v="646"/>
    <x v="16"/>
    <d v="2024-03-04T00:00:00"/>
    <n v="12"/>
  </r>
  <r>
    <n v="1116"/>
    <n v="583"/>
    <x v="10"/>
    <d v="2024-09-23T00:00:00"/>
    <n v="20"/>
  </r>
  <r>
    <n v="1117"/>
    <n v="676"/>
    <x v="25"/>
    <d v="2024-04-01T00:00:00"/>
    <n v="12"/>
  </r>
  <r>
    <n v="1118"/>
    <n v="629"/>
    <x v="17"/>
    <d v="2024-01-30T00:00:00"/>
    <n v="11"/>
  </r>
  <r>
    <n v="1119"/>
    <n v="675"/>
    <x v="19"/>
    <d v="2024-07-07T00:00:00"/>
    <n v="19"/>
  </r>
  <r>
    <n v="1120"/>
    <n v="678"/>
    <x v="26"/>
    <d v="2024-12-12T00:00:00"/>
    <n v="14"/>
  </r>
  <r>
    <n v="1121"/>
    <n v="509"/>
    <x v="22"/>
    <d v="2024-11-15T00:00:00"/>
    <n v="1"/>
  </r>
  <r>
    <n v="1122"/>
    <n v="567"/>
    <x v="16"/>
    <d v="2024-01-19T00:00:00"/>
    <n v="15"/>
  </r>
  <r>
    <n v="1123"/>
    <n v="526"/>
    <x v="33"/>
    <d v="2024-07-19T00:00:00"/>
    <n v="4"/>
  </r>
  <r>
    <n v="1124"/>
    <n v="578"/>
    <x v="22"/>
    <d v="2024-08-23T00:00:00"/>
    <n v="16"/>
  </r>
  <r>
    <n v="1125"/>
    <n v="594"/>
    <x v="19"/>
    <d v="2024-04-03T00:00:00"/>
    <n v="3"/>
  </r>
  <r>
    <n v="1126"/>
    <n v="604"/>
    <x v="7"/>
    <d v="2024-11-19T00:00:00"/>
    <n v="11"/>
  </r>
  <r>
    <n v="1127"/>
    <n v="545"/>
    <x v="17"/>
    <d v="2024-11-25T00:00:00"/>
    <n v="14"/>
  </r>
  <r>
    <n v="1128"/>
    <n v="703"/>
    <x v="24"/>
    <d v="2024-06-06T00:00:00"/>
    <n v="9"/>
  </r>
  <r>
    <n v="1129"/>
    <n v="532"/>
    <x v="9"/>
    <d v="2024-08-29T00:00:00"/>
    <n v="5"/>
  </r>
  <r>
    <n v="1130"/>
    <n v="741"/>
    <x v="18"/>
    <d v="2024-09-15T00:00:00"/>
    <n v="7"/>
  </r>
  <r>
    <n v="1131"/>
    <n v="688"/>
    <x v="30"/>
    <d v="2024-05-25T00:00:00"/>
    <n v="19"/>
  </r>
  <r>
    <n v="1132"/>
    <n v="571"/>
    <x v="29"/>
    <d v="2024-05-08T00:00:00"/>
    <n v="16"/>
  </r>
  <r>
    <n v="1133"/>
    <n v="671"/>
    <x v="3"/>
    <d v="2024-12-23T00:00:00"/>
    <n v="3"/>
  </r>
  <r>
    <n v="1134"/>
    <n v="603"/>
    <x v="25"/>
    <d v="2024-11-24T00:00:00"/>
    <n v="9"/>
  </r>
  <r>
    <n v="1135"/>
    <n v="649"/>
    <x v="27"/>
    <d v="2024-11-17T00:00:00"/>
    <n v="9"/>
  </r>
  <r>
    <n v="1136"/>
    <n v="528"/>
    <x v="22"/>
    <d v="2024-05-11T00:00:00"/>
    <n v="17"/>
  </r>
  <r>
    <n v="1137"/>
    <n v="736"/>
    <x v="7"/>
    <d v="2024-08-06T00:00:00"/>
    <n v="4"/>
  </r>
  <r>
    <n v="1138"/>
    <n v="739"/>
    <x v="3"/>
    <d v="2024-07-15T00:00:00"/>
    <n v="20"/>
  </r>
  <r>
    <n v="1139"/>
    <n v="593"/>
    <x v="1"/>
    <d v="2024-12-15T00:00:00"/>
    <n v="13"/>
  </r>
  <r>
    <n v="1140"/>
    <n v="623"/>
    <x v="16"/>
    <d v="2024-11-08T00:00:00"/>
    <n v="12"/>
  </r>
  <r>
    <n v="1141"/>
    <n v="687"/>
    <x v="26"/>
    <d v="2024-07-05T00:00:00"/>
    <n v="13"/>
  </r>
  <r>
    <n v="1142"/>
    <n v="739"/>
    <x v="29"/>
    <d v="2024-12-25T00:00:00"/>
    <n v="16"/>
  </r>
  <r>
    <n v="1143"/>
    <n v="706"/>
    <x v="2"/>
    <d v="2024-08-02T00:00:00"/>
    <n v="15"/>
  </r>
  <r>
    <n v="1144"/>
    <n v="608"/>
    <x v="32"/>
    <d v="2024-10-20T00:00:00"/>
    <n v="20"/>
  </r>
  <r>
    <n v="1145"/>
    <n v="532"/>
    <x v="25"/>
    <d v="2024-02-03T00:00:00"/>
    <n v="18"/>
  </r>
  <r>
    <n v="1146"/>
    <n v="666"/>
    <x v="18"/>
    <d v="2024-11-28T00:00:00"/>
    <n v="7"/>
  </r>
  <r>
    <n v="1147"/>
    <n v="705"/>
    <x v="10"/>
    <d v="2024-08-06T00:00:00"/>
    <n v="18"/>
  </r>
  <r>
    <n v="1148"/>
    <n v="648"/>
    <x v="5"/>
    <d v="2024-12-14T00:00:00"/>
    <n v="3"/>
  </r>
  <r>
    <n v="1149"/>
    <n v="610"/>
    <x v="22"/>
    <d v="2024-04-05T00:00:00"/>
    <n v="14"/>
  </r>
  <r>
    <n v="1150"/>
    <n v="586"/>
    <x v="11"/>
    <d v="2024-03-02T00:00:00"/>
    <n v="7"/>
  </r>
  <r>
    <n v="1151"/>
    <n v="729"/>
    <x v="14"/>
    <d v="2024-01-17T00:00:00"/>
    <n v="9"/>
  </r>
  <r>
    <n v="1152"/>
    <n v="747"/>
    <x v="4"/>
    <d v="2024-08-10T00:00:00"/>
    <n v="14"/>
  </r>
  <r>
    <n v="1153"/>
    <n v="665"/>
    <x v="11"/>
    <d v="2024-10-07T00:00:00"/>
    <n v="1"/>
  </r>
  <r>
    <n v="1154"/>
    <n v="750"/>
    <x v="13"/>
    <d v="2024-09-16T00:00:00"/>
    <n v="8"/>
  </r>
  <r>
    <n v="1155"/>
    <n v="690"/>
    <x v="17"/>
    <d v="2024-08-12T00:00:00"/>
    <n v="18"/>
  </r>
  <r>
    <n v="1156"/>
    <n v="560"/>
    <x v="3"/>
    <d v="2024-01-26T00:00:00"/>
    <n v="12"/>
  </r>
  <r>
    <n v="1157"/>
    <n v="584"/>
    <x v="16"/>
    <d v="2024-01-04T00:00:00"/>
    <n v="13"/>
  </r>
  <r>
    <n v="1158"/>
    <n v="541"/>
    <x v="6"/>
    <d v="2024-02-22T00:00:00"/>
    <n v="3"/>
  </r>
  <r>
    <n v="1159"/>
    <n v="505"/>
    <x v="3"/>
    <d v="2024-12-29T00:00:00"/>
    <n v="10"/>
  </r>
  <r>
    <n v="1160"/>
    <n v="672"/>
    <x v="7"/>
    <d v="2024-10-31T00:00:00"/>
    <n v="13"/>
  </r>
  <r>
    <n v="1161"/>
    <n v="684"/>
    <x v="25"/>
    <d v="2024-03-20T00:00:00"/>
    <n v="19"/>
  </r>
  <r>
    <n v="1162"/>
    <n v="549"/>
    <x v="20"/>
    <d v="2024-09-21T00:00:00"/>
    <n v="12"/>
  </r>
  <r>
    <n v="1163"/>
    <n v="627"/>
    <x v="25"/>
    <d v="2024-01-22T00:00:00"/>
    <n v="3"/>
  </r>
  <r>
    <n v="1164"/>
    <n v="657"/>
    <x v="26"/>
    <d v="2024-12-02T00:00:00"/>
    <n v="13"/>
  </r>
  <r>
    <n v="1165"/>
    <n v="605"/>
    <x v="7"/>
    <d v="2024-09-23T00:00:00"/>
    <n v="8"/>
  </r>
  <r>
    <n v="1166"/>
    <n v="557"/>
    <x v="21"/>
    <d v="2024-07-05T00:00:00"/>
    <n v="13"/>
  </r>
  <r>
    <n v="1167"/>
    <n v="665"/>
    <x v="23"/>
    <d v="2024-10-28T00:00:00"/>
    <n v="17"/>
  </r>
  <r>
    <n v="1168"/>
    <n v="700"/>
    <x v="14"/>
    <d v="2024-01-20T00:00:00"/>
    <n v="2"/>
  </r>
  <r>
    <n v="1169"/>
    <n v="552"/>
    <x v="6"/>
    <d v="2024-04-13T00:00:00"/>
    <n v="16"/>
  </r>
  <r>
    <n v="1170"/>
    <n v="632"/>
    <x v="10"/>
    <d v="2024-09-22T00:00:00"/>
    <n v="17"/>
  </r>
  <r>
    <n v="1171"/>
    <n v="553"/>
    <x v="3"/>
    <d v="2024-10-06T00:00:00"/>
    <n v="20"/>
  </r>
  <r>
    <n v="1172"/>
    <n v="575"/>
    <x v="1"/>
    <d v="2024-04-05T00:00:00"/>
    <n v="19"/>
  </r>
  <r>
    <n v="1173"/>
    <n v="514"/>
    <x v="4"/>
    <d v="2024-01-21T00:00:00"/>
    <n v="6"/>
  </r>
  <r>
    <n v="1174"/>
    <n v="622"/>
    <x v="29"/>
    <d v="2024-11-06T00:00:00"/>
    <n v="19"/>
  </r>
  <r>
    <n v="1175"/>
    <n v="575"/>
    <x v="26"/>
    <d v="2024-10-08T00:00:00"/>
    <n v="14"/>
  </r>
  <r>
    <n v="1176"/>
    <n v="587"/>
    <x v="11"/>
    <d v="2024-01-18T00:00:00"/>
    <n v="17"/>
  </r>
  <r>
    <n v="1177"/>
    <n v="551"/>
    <x v="22"/>
    <d v="2024-07-28T00:00:00"/>
    <n v="11"/>
  </r>
  <r>
    <n v="1178"/>
    <n v="529"/>
    <x v="10"/>
    <d v="2024-01-25T00:00:00"/>
    <n v="3"/>
  </r>
  <r>
    <n v="1179"/>
    <n v="521"/>
    <x v="29"/>
    <d v="2024-10-29T00:00:00"/>
    <n v="17"/>
  </r>
  <r>
    <n v="1180"/>
    <n v="663"/>
    <x v="15"/>
    <d v="2024-12-02T00:00:00"/>
    <n v="7"/>
  </r>
  <r>
    <n v="1181"/>
    <n v="635"/>
    <x v="14"/>
    <d v="2024-08-22T00:00:00"/>
    <n v="5"/>
  </r>
  <r>
    <n v="1182"/>
    <n v="528"/>
    <x v="21"/>
    <d v="2024-12-11T00:00:00"/>
    <n v="9"/>
  </r>
  <r>
    <n v="1183"/>
    <n v="507"/>
    <x v="12"/>
    <d v="2024-05-23T00:00:00"/>
    <n v="15"/>
  </r>
  <r>
    <n v="1184"/>
    <n v="698"/>
    <x v="15"/>
    <d v="2024-09-18T00:00:00"/>
    <n v="5"/>
  </r>
  <r>
    <n v="1185"/>
    <n v="736"/>
    <x v="6"/>
    <d v="2024-01-25T00:00:00"/>
    <n v="4"/>
  </r>
  <r>
    <n v="1186"/>
    <n v="501"/>
    <x v="31"/>
    <d v="2024-09-14T00:00:00"/>
    <n v="8"/>
  </r>
  <r>
    <n v="1187"/>
    <n v="623"/>
    <x v="4"/>
    <d v="2024-05-14T00:00:00"/>
    <n v="3"/>
  </r>
  <r>
    <n v="1188"/>
    <n v="649"/>
    <x v="30"/>
    <d v="2024-10-13T00:00:00"/>
    <n v="20"/>
  </r>
  <r>
    <n v="1189"/>
    <n v="597"/>
    <x v="27"/>
    <d v="2024-12-09T00:00:00"/>
    <n v="5"/>
  </r>
  <r>
    <n v="1190"/>
    <n v="563"/>
    <x v="16"/>
    <d v="2024-02-08T00:00:00"/>
    <n v="10"/>
  </r>
  <r>
    <n v="1191"/>
    <n v="721"/>
    <x v="11"/>
    <d v="2024-04-19T00:00:00"/>
    <n v="18"/>
  </r>
  <r>
    <n v="1192"/>
    <n v="551"/>
    <x v="4"/>
    <d v="2024-05-11T00:00:00"/>
    <n v="12"/>
  </r>
  <r>
    <n v="1193"/>
    <n v="581"/>
    <x v="19"/>
    <d v="2024-04-05T00:00:00"/>
    <n v="6"/>
  </r>
  <r>
    <n v="1194"/>
    <n v="645"/>
    <x v="22"/>
    <d v="2024-08-24T00:00:00"/>
    <n v="9"/>
  </r>
  <r>
    <n v="1195"/>
    <n v="545"/>
    <x v="33"/>
    <d v="2024-03-14T00:00:00"/>
    <n v="18"/>
  </r>
  <r>
    <n v="1196"/>
    <n v="603"/>
    <x v="26"/>
    <d v="2024-03-18T00:00:00"/>
    <n v="15"/>
  </r>
  <r>
    <n v="1197"/>
    <n v="720"/>
    <x v="33"/>
    <d v="2024-05-04T00:00:00"/>
    <n v="19"/>
  </r>
  <r>
    <n v="1198"/>
    <n v="747"/>
    <x v="9"/>
    <d v="2024-03-17T00:00:00"/>
    <n v="3"/>
  </r>
  <r>
    <n v="1199"/>
    <n v="567"/>
    <x v="11"/>
    <d v="2024-05-18T00:00:00"/>
    <n v="18"/>
  </r>
  <r>
    <n v="1200"/>
    <n v="579"/>
    <x v="1"/>
    <d v="2024-12-24T00:00:00"/>
    <n v="15"/>
  </r>
  <r>
    <n v="1201"/>
    <n v="591"/>
    <x v="10"/>
    <d v="2024-12-18T00:00:00"/>
    <n v="10"/>
  </r>
  <r>
    <n v="1202"/>
    <n v="610"/>
    <x v="12"/>
    <d v="2024-08-26T00:00:00"/>
    <n v="16"/>
  </r>
  <r>
    <n v="1203"/>
    <n v="659"/>
    <x v="22"/>
    <d v="2024-02-03T00:00:00"/>
    <n v="11"/>
  </r>
  <r>
    <n v="1204"/>
    <n v="536"/>
    <x v="23"/>
    <d v="2024-11-05T00:00:00"/>
    <n v="8"/>
  </r>
  <r>
    <n v="1205"/>
    <n v="728"/>
    <x v="23"/>
    <d v="2024-12-12T00:00:00"/>
    <n v="1"/>
  </r>
  <r>
    <n v="1206"/>
    <n v="624"/>
    <x v="32"/>
    <d v="2024-10-28T00:00:00"/>
    <n v="5"/>
  </r>
  <r>
    <n v="1207"/>
    <n v="724"/>
    <x v="27"/>
    <d v="2024-02-11T00:00:00"/>
    <n v="7"/>
  </r>
  <r>
    <n v="1208"/>
    <n v="649"/>
    <x v="8"/>
    <d v="2024-03-20T00:00:00"/>
    <n v="3"/>
  </r>
  <r>
    <n v="1209"/>
    <n v="654"/>
    <x v="26"/>
    <d v="2024-08-17T00:00:00"/>
    <n v="19"/>
  </r>
  <r>
    <n v="1210"/>
    <n v="556"/>
    <x v="11"/>
    <d v="2024-11-22T00:00:00"/>
    <n v="17"/>
  </r>
  <r>
    <n v="1211"/>
    <n v="661"/>
    <x v="21"/>
    <d v="2024-01-18T00:00:00"/>
    <n v="16"/>
  </r>
  <r>
    <n v="1212"/>
    <n v="599"/>
    <x v="13"/>
    <d v="2024-07-24T00:00:00"/>
    <n v="7"/>
  </r>
  <r>
    <n v="1213"/>
    <n v="698"/>
    <x v="15"/>
    <d v="2024-09-16T00:00:00"/>
    <n v="8"/>
  </r>
  <r>
    <n v="1214"/>
    <n v="545"/>
    <x v="28"/>
    <d v="2024-10-19T00:00:00"/>
    <n v="18"/>
  </r>
  <r>
    <n v="1215"/>
    <n v="719"/>
    <x v="23"/>
    <d v="2024-07-29T00:00:00"/>
    <n v="10"/>
  </r>
  <r>
    <n v="1216"/>
    <n v="597"/>
    <x v="8"/>
    <d v="2024-05-15T00:00:00"/>
    <n v="7"/>
  </r>
  <r>
    <n v="1217"/>
    <n v="600"/>
    <x v="26"/>
    <d v="2024-09-29T00:00:00"/>
    <n v="6"/>
  </r>
  <r>
    <n v="1218"/>
    <n v="628"/>
    <x v="14"/>
    <d v="2024-03-22T00:00:00"/>
    <n v="11"/>
  </r>
  <r>
    <n v="1219"/>
    <n v="634"/>
    <x v="8"/>
    <d v="2024-10-31T00:00:00"/>
    <n v="1"/>
  </r>
  <r>
    <n v="1220"/>
    <n v="534"/>
    <x v="22"/>
    <d v="2024-12-15T00:00:00"/>
    <n v="17"/>
  </r>
  <r>
    <n v="1221"/>
    <n v="671"/>
    <x v="30"/>
    <d v="2024-04-26T00:00:00"/>
    <n v="3"/>
  </r>
  <r>
    <n v="1222"/>
    <n v="510"/>
    <x v="11"/>
    <d v="2024-02-14T00:00:00"/>
    <n v="7"/>
  </r>
  <r>
    <n v="1223"/>
    <n v="640"/>
    <x v="19"/>
    <d v="2024-03-24T00:00:00"/>
    <n v="11"/>
  </r>
  <r>
    <n v="1224"/>
    <n v="626"/>
    <x v="4"/>
    <d v="2024-10-25T00:00:00"/>
    <n v="5"/>
  </r>
  <r>
    <n v="1225"/>
    <n v="511"/>
    <x v="31"/>
    <d v="2024-02-27T00:00:00"/>
    <n v="16"/>
  </r>
  <r>
    <n v="1226"/>
    <n v="518"/>
    <x v="4"/>
    <d v="2024-04-28T00:00:00"/>
    <n v="16"/>
  </r>
  <r>
    <n v="1227"/>
    <n v="537"/>
    <x v="27"/>
    <d v="2024-04-30T00:00:00"/>
    <n v="16"/>
  </r>
  <r>
    <n v="1228"/>
    <n v="557"/>
    <x v="23"/>
    <d v="2024-05-21T00:00:00"/>
    <n v="11"/>
  </r>
  <r>
    <n v="1229"/>
    <n v="532"/>
    <x v="6"/>
    <d v="2024-07-18T00:00:00"/>
    <n v="19"/>
  </r>
  <r>
    <n v="1230"/>
    <n v="689"/>
    <x v="6"/>
    <d v="2024-08-05T00:00:00"/>
    <n v="4"/>
  </r>
  <r>
    <n v="1231"/>
    <n v="695"/>
    <x v="19"/>
    <d v="2024-08-27T00:00:00"/>
    <n v="18"/>
  </r>
  <r>
    <n v="1232"/>
    <n v="669"/>
    <x v="23"/>
    <d v="2024-05-06T00:00:00"/>
    <n v="6"/>
  </r>
  <r>
    <n v="1233"/>
    <n v="511"/>
    <x v="23"/>
    <d v="2024-07-23T00:00:00"/>
    <n v="19"/>
  </r>
  <r>
    <n v="1234"/>
    <n v="505"/>
    <x v="29"/>
    <d v="2024-06-12T00:00:00"/>
    <n v="4"/>
  </r>
  <r>
    <n v="1235"/>
    <n v="520"/>
    <x v="7"/>
    <d v="2024-03-11T00:00:00"/>
    <n v="12"/>
  </r>
  <r>
    <n v="1236"/>
    <n v="637"/>
    <x v="32"/>
    <d v="2024-02-05T00:00:00"/>
    <n v="2"/>
  </r>
  <r>
    <n v="1237"/>
    <n v="689"/>
    <x v="23"/>
    <d v="2024-09-26T00:00:00"/>
    <n v="1"/>
  </r>
  <r>
    <n v="1238"/>
    <n v="719"/>
    <x v="0"/>
    <d v="2024-08-19T00:00:00"/>
    <n v="3"/>
  </r>
  <r>
    <n v="1239"/>
    <n v="537"/>
    <x v="3"/>
    <d v="2024-06-01T00:00:00"/>
    <n v="1"/>
  </r>
  <r>
    <n v="1240"/>
    <n v="657"/>
    <x v="31"/>
    <d v="2024-12-09T00:00:00"/>
    <n v="16"/>
  </r>
  <r>
    <n v="1241"/>
    <n v="698"/>
    <x v="6"/>
    <d v="2024-04-12T00:00:00"/>
    <n v="13"/>
  </r>
  <r>
    <n v="1242"/>
    <n v="556"/>
    <x v="26"/>
    <d v="2024-01-17T00:00:00"/>
    <n v="12"/>
  </r>
  <r>
    <n v="1243"/>
    <n v="595"/>
    <x v="10"/>
    <d v="2024-07-27T00:00:00"/>
    <n v="20"/>
  </r>
  <r>
    <n v="1244"/>
    <n v="666"/>
    <x v="24"/>
    <d v="2024-02-22T00:00:00"/>
    <n v="17"/>
  </r>
  <r>
    <n v="1245"/>
    <n v="689"/>
    <x v="23"/>
    <d v="2024-04-18T00:00:00"/>
    <n v="11"/>
  </r>
  <r>
    <n v="1246"/>
    <n v="617"/>
    <x v="13"/>
    <d v="2024-05-28T00:00:00"/>
    <n v="1"/>
  </r>
  <r>
    <n v="1247"/>
    <n v="746"/>
    <x v="31"/>
    <d v="2024-06-17T00:00:00"/>
    <n v="18"/>
  </r>
  <r>
    <n v="1248"/>
    <n v="645"/>
    <x v="25"/>
    <d v="2024-10-12T00:00:00"/>
    <n v="20"/>
  </r>
  <r>
    <n v="1249"/>
    <n v="709"/>
    <x v="20"/>
    <d v="2024-02-15T00:00:00"/>
    <n v="17"/>
  </r>
  <r>
    <n v="1250"/>
    <n v="587"/>
    <x v="11"/>
    <d v="2024-12-04T00:00:00"/>
    <n v="14"/>
  </r>
  <r>
    <n v="1251"/>
    <n v="655"/>
    <x v="30"/>
    <d v="2024-11-16T00:00:00"/>
    <n v="18"/>
  </r>
  <r>
    <n v="1252"/>
    <n v="679"/>
    <x v="31"/>
    <d v="2024-12-05T00:00:00"/>
    <n v="2"/>
  </r>
  <r>
    <n v="1253"/>
    <n v="510"/>
    <x v="17"/>
    <d v="2024-07-08T00:00:00"/>
    <n v="16"/>
  </r>
  <r>
    <n v="1254"/>
    <n v="667"/>
    <x v="1"/>
    <d v="2024-02-21T00:00:00"/>
    <n v="7"/>
  </r>
  <r>
    <n v="1255"/>
    <n v="556"/>
    <x v="27"/>
    <d v="2024-08-12T00:00:00"/>
    <n v="20"/>
  </r>
  <r>
    <n v="1256"/>
    <n v="548"/>
    <x v="22"/>
    <d v="2024-04-15T00:00:00"/>
    <n v="14"/>
  </r>
  <r>
    <n v="1257"/>
    <n v="647"/>
    <x v="13"/>
    <d v="2024-07-30T00:00:00"/>
    <n v="9"/>
  </r>
  <r>
    <n v="1258"/>
    <n v="747"/>
    <x v="31"/>
    <d v="2024-03-07T00:00:00"/>
    <n v="2"/>
  </r>
  <r>
    <n v="1259"/>
    <n v="715"/>
    <x v="4"/>
    <d v="2024-11-16T00:00:00"/>
    <n v="19"/>
  </r>
  <r>
    <n v="1260"/>
    <n v="651"/>
    <x v="7"/>
    <d v="2024-08-13T00:00:00"/>
    <n v="3"/>
  </r>
  <r>
    <n v="1261"/>
    <n v="546"/>
    <x v="9"/>
    <d v="2024-01-28T00:00:00"/>
    <n v="4"/>
  </r>
  <r>
    <n v="1262"/>
    <n v="674"/>
    <x v="5"/>
    <d v="2024-02-26T00:00:00"/>
    <n v="8"/>
  </r>
  <r>
    <n v="1263"/>
    <n v="662"/>
    <x v="3"/>
    <d v="2024-02-20T00:00:00"/>
    <n v="1"/>
  </r>
  <r>
    <n v="1264"/>
    <n v="677"/>
    <x v="23"/>
    <d v="2024-01-28T00:00:00"/>
    <n v="12"/>
  </r>
  <r>
    <n v="1265"/>
    <n v="735"/>
    <x v="6"/>
    <d v="2024-09-24T00:00:00"/>
    <n v="11"/>
  </r>
  <r>
    <n v="1266"/>
    <n v="582"/>
    <x v="14"/>
    <d v="2024-01-07T00:00:00"/>
    <n v="16"/>
  </r>
  <r>
    <n v="1267"/>
    <n v="614"/>
    <x v="16"/>
    <d v="2024-08-02T00:00:00"/>
    <n v="15"/>
  </r>
  <r>
    <n v="1268"/>
    <n v="518"/>
    <x v="5"/>
    <d v="2024-07-11T00:00:00"/>
    <n v="8"/>
  </r>
  <r>
    <n v="1269"/>
    <n v="527"/>
    <x v="31"/>
    <d v="2024-10-01T00:00:00"/>
    <n v="14"/>
  </r>
  <r>
    <n v="1270"/>
    <n v="593"/>
    <x v="21"/>
    <d v="2024-04-03T00:00:00"/>
    <n v="2"/>
  </r>
  <r>
    <n v="1271"/>
    <n v="527"/>
    <x v="29"/>
    <d v="2024-01-09T00:00:00"/>
    <n v="3"/>
  </r>
  <r>
    <n v="1272"/>
    <n v="581"/>
    <x v="21"/>
    <d v="2024-03-30T00:00:00"/>
    <n v="10"/>
  </r>
  <r>
    <n v="1273"/>
    <n v="609"/>
    <x v="5"/>
    <d v="2024-08-27T00:00:00"/>
    <n v="19"/>
  </r>
  <r>
    <n v="1274"/>
    <n v="530"/>
    <x v="25"/>
    <d v="2024-03-06T00:00:00"/>
    <n v="6"/>
  </r>
  <r>
    <n v="1275"/>
    <n v="637"/>
    <x v="0"/>
    <d v="2024-06-27T00:00:00"/>
    <n v="15"/>
  </r>
  <r>
    <n v="1276"/>
    <n v="702"/>
    <x v="21"/>
    <d v="2024-05-10T00:00:00"/>
    <n v="15"/>
  </r>
  <r>
    <n v="1277"/>
    <n v="532"/>
    <x v="7"/>
    <d v="2024-05-10T00:00:00"/>
    <n v="1"/>
  </r>
  <r>
    <n v="1278"/>
    <n v="573"/>
    <x v="7"/>
    <d v="2024-07-06T00:00:00"/>
    <n v="4"/>
  </r>
  <r>
    <n v="1279"/>
    <n v="716"/>
    <x v="20"/>
    <d v="2024-10-26T00:00:00"/>
    <n v="7"/>
  </r>
  <r>
    <n v="1280"/>
    <n v="701"/>
    <x v="7"/>
    <d v="2024-02-24T00:00:00"/>
    <n v="12"/>
  </r>
  <r>
    <n v="1281"/>
    <n v="603"/>
    <x v="22"/>
    <d v="2024-02-08T00:00:00"/>
    <n v="3"/>
  </r>
  <r>
    <n v="1282"/>
    <n v="614"/>
    <x v="9"/>
    <d v="2024-04-27T00:00:00"/>
    <n v="11"/>
  </r>
  <r>
    <n v="1283"/>
    <n v="566"/>
    <x v="29"/>
    <d v="2024-04-11T00:00:00"/>
    <n v="4"/>
  </r>
  <r>
    <n v="1284"/>
    <n v="507"/>
    <x v="11"/>
    <d v="2024-09-08T00:00:00"/>
    <n v="20"/>
  </r>
  <r>
    <n v="1285"/>
    <n v="538"/>
    <x v="6"/>
    <d v="2024-07-13T00:00:00"/>
    <n v="10"/>
  </r>
  <r>
    <n v="1286"/>
    <n v="660"/>
    <x v="17"/>
    <d v="2024-03-02T00:00:00"/>
    <n v="13"/>
  </r>
  <r>
    <n v="1287"/>
    <n v="719"/>
    <x v="0"/>
    <d v="2024-06-05T00:00:00"/>
    <n v="6"/>
  </r>
  <r>
    <n v="1288"/>
    <n v="728"/>
    <x v="1"/>
    <d v="2024-01-04T00:00:00"/>
    <n v="17"/>
  </r>
  <r>
    <n v="1289"/>
    <n v="679"/>
    <x v="3"/>
    <d v="2024-05-25T00:00:00"/>
    <n v="10"/>
  </r>
  <r>
    <n v="1290"/>
    <n v="739"/>
    <x v="16"/>
    <d v="2024-12-29T00:00:00"/>
    <n v="16"/>
  </r>
  <r>
    <n v="1291"/>
    <n v="620"/>
    <x v="15"/>
    <d v="2024-04-27T00:00:00"/>
    <n v="6"/>
  </r>
  <r>
    <n v="1292"/>
    <n v="733"/>
    <x v="14"/>
    <d v="2024-09-29T00:00:00"/>
    <n v="6"/>
  </r>
  <r>
    <n v="1293"/>
    <n v="580"/>
    <x v="9"/>
    <d v="2024-11-14T00:00:00"/>
    <n v="15"/>
  </r>
  <r>
    <n v="1294"/>
    <n v="677"/>
    <x v="7"/>
    <d v="2024-05-17T00:00:00"/>
    <n v="12"/>
  </r>
  <r>
    <n v="1295"/>
    <n v="704"/>
    <x v="6"/>
    <d v="2024-05-18T00:00:00"/>
    <n v="15"/>
  </r>
  <r>
    <n v="1296"/>
    <n v="632"/>
    <x v="31"/>
    <d v="2024-06-18T00:00:00"/>
    <n v="12"/>
  </r>
  <r>
    <n v="1297"/>
    <n v="660"/>
    <x v="25"/>
    <d v="2024-07-12T00:00:00"/>
    <n v="11"/>
  </r>
  <r>
    <n v="1298"/>
    <n v="541"/>
    <x v="15"/>
    <d v="2024-04-27T00:00:00"/>
    <n v="1"/>
  </r>
  <r>
    <n v="1299"/>
    <n v="590"/>
    <x v="17"/>
    <d v="2024-06-18T00:00:00"/>
    <n v="3"/>
  </r>
  <r>
    <n v="1300"/>
    <n v="624"/>
    <x v="11"/>
    <d v="2024-02-21T00:00:00"/>
    <n v="2"/>
  </r>
  <r>
    <n v="1301"/>
    <n v="574"/>
    <x v="18"/>
    <d v="2024-08-11T00:00:00"/>
    <n v="3"/>
  </r>
  <r>
    <n v="1302"/>
    <n v="599"/>
    <x v="13"/>
    <d v="2024-09-10T00:00:00"/>
    <n v="7"/>
  </r>
  <r>
    <n v="1303"/>
    <n v="660"/>
    <x v="7"/>
    <d v="2024-04-02T00:00:00"/>
    <n v="7"/>
  </r>
  <r>
    <n v="1304"/>
    <n v="601"/>
    <x v="25"/>
    <d v="2024-07-09T00:00:00"/>
    <n v="15"/>
  </r>
  <r>
    <n v="1305"/>
    <n v="687"/>
    <x v="1"/>
    <d v="2024-02-01T00:00:00"/>
    <n v="10"/>
  </r>
  <r>
    <n v="1306"/>
    <n v="732"/>
    <x v="24"/>
    <d v="2024-11-22T00:00:00"/>
    <n v="12"/>
  </r>
  <r>
    <n v="1307"/>
    <n v="730"/>
    <x v="31"/>
    <d v="2024-08-22T00:00:00"/>
    <n v="14"/>
  </r>
  <r>
    <n v="1308"/>
    <n v="708"/>
    <x v="0"/>
    <d v="2024-12-24T00:00:00"/>
    <n v="4"/>
  </r>
  <r>
    <n v="1309"/>
    <n v="544"/>
    <x v="14"/>
    <d v="2024-04-13T00:00:00"/>
    <n v="1"/>
  </r>
  <r>
    <n v="1310"/>
    <n v="676"/>
    <x v="18"/>
    <d v="2024-02-22T00:00:00"/>
    <n v="15"/>
  </r>
  <r>
    <n v="1311"/>
    <n v="532"/>
    <x v="31"/>
    <d v="2024-07-05T00:00:00"/>
    <n v="11"/>
  </r>
  <r>
    <n v="1312"/>
    <n v="533"/>
    <x v="3"/>
    <d v="2024-11-13T00:00:00"/>
    <n v="14"/>
  </r>
  <r>
    <n v="1313"/>
    <n v="697"/>
    <x v="10"/>
    <d v="2024-02-08T00:00:00"/>
    <n v="3"/>
  </r>
  <r>
    <n v="1314"/>
    <n v="702"/>
    <x v="11"/>
    <d v="2024-10-03T00:00:00"/>
    <n v="5"/>
  </r>
  <r>
    <n v="1315"/>
    <n v="680"/>
    <x v="25"/>
    <d v="2024-10-13T00:00:00"/>
    <n v="20"/>
  </r>
  <r>
    <n v="1316"/>
    <n v="710"/>
    <x v="27"/>
    <d v="2024-07-04T00:00:00"/>
    <n v="20"/>
  </r>
  <r>
    <n v="1317"/>
    <n v="580"/>
    <x v="8"/>
    <d v="2024-01-19T00:00:00"/>
    <n v="19"/>
  </r>
  <r>
    <n v="1318"/>
    <n v="543"/>
    <x v="29"/>
    <d v="2024-08-08T00:00:00"/>
    <n v="9"/>
  </r>
  <r>
    <n v="1319"/>
    <n v="604"/>
    <x v="30"/>
    <d v="2024-02-05T00:00:00"/>
    <n v="10"/>
  </r>
  <r>
    <n v="1320"/>
    <n v="533"/>
    <x v="26"/>
    <d v="2024-07-16T00:00:00"/>
    <n v="9"/>
  </r>
  <r>
    <n v="1321"/>
    <n v="542"/>
    <x v="30"/>
    <d v="2024-09-09T00:00:00"/>
    <n v="14"/>
  </r>
  <r>
    <n v="1322"/>
    <n v="547"/>
    <x v="25"/>
    <d v="2024-10-20T00:00:00"/>
    <n v="16"/>
  </r>
  <r>
    <n v="1323"/>
    <n v="504"/>
    <x v="7"/>
    <d v="2024-07-09T00:00:00"/>
    <n v="8"/>
  </r>
  <r>
    <n v="1324"/>
    <n v="682"/>
    <x v="15"/>
    <d v="2024-01-19T00:00:00"/>
    <n v="6"/>
  </r>
  <r>
    <n v="1325"/>
    <n v="650"/>
    <x v="20"/>
    <d v="2024-09-22T00:00:00"/>
    <n v="6"/>
  </r>
  <r>
    <n v="1326"/>
    <n v="585"/>
    <x v="1"/>
    <d v="2024-05-13T00:00:00"/>
    <n v="10"/>
  </r>
  <r>
    <n v="1327"/>
    <n v="679"/>
    <x v="28"/>
    <d v="2024-10-27T00:00:00"/>
    <n v="5"/>
  </r>
  <r>
    <n v="1328"/>
    <n v="525"/>
    <x v="2"/>
    <d v="2024-09-27T00:00:00"/>
    <n v="15"/>
  </r>
  <r>
    <n v="1329"/>
    <n v="680"/>
    <x v="15"/>
    <d v="2024-08-25T00:00:00"/>
    <n v="16"/>
  </r>
  <r>
    <n v="1330"/>
    <n v="745"/>
    <x v="6"/>
    <d v="2024-07-06T00:00:00"/>
    <n v="12"/>
  </r>
  <r>
    <n v="1331"/>
    <n v="521"/>
    <x v="13"/>
    <d v="2024-12-18T00:00:00"/>
    <n v="17"/>
  </r>
  <r>
    <n v="1332"/>
    <n v="643"/>
    <x v="33"/>
    <d v="2024-02-23T00:00:00"/>
    <n v="11"/>
  </r>
  <r>
    <n v="1333"/>
    <n v="589"/>
    <x v="28"/>
    <d v="2024-08-22T00:00:00"/>
    <n v="14"/>
  </r>
  <r>
    <n v="1334"/>
    <n v="715"/>
    <x v="16"/>
    <d v="2024-02-20T00:00:00"/>
    <n v="9"/>
  </r>
  <r>
    <n v="1335"/>
    <n v="620"/>
    <x v="21"/>
    <d v="2024-01-12T00:00:00"/>
    <n v="6"/>
  </r>
  <r>
    <n v="1336"/>
    <n v="722"/>
    <x v="15"/>
    <d v="2024-12-16T00:00:00"/>
    <n v="4"/>
  </r>
  <r>
    <n v="1337"/>
    <n v="700"/>
    <x v="18"/>
    <d v="2024-09-19T00:00:00"/>
    <n v="18"/>
  </r>
  <r>
    <n v="1338"/>
    <n v="729"/>
    <x v="17"/>
    <d v="2024-01-14T00:00:00"/>
    <n v="8"/>
  </r>
  <r>
    <n v="1339"/>
    <n v="704"/>
    <x v="18"/>
    <d v="2024-03-24T00:00:00"/>
    <n v="11"/>
  </r>
  <r>
    <n v="1340"/>
    <n v="608"/>
    <x v="31"/>
    <d v="2024-11-05T00:00:00"/>
    <n v="6"/>
  </r>
  <r>
    <n v="1341"/>
    <n v="696"/>
    <x v="0"/>
    <d v="2024-09-24T00:00:00"/>
    <n v="1"/>
  </r>
  <r>
    <n v="1342"/>
    <n v="701"/>
    <x v="1"/>
    <d v="2024-04-18T00:00:00"/>
    <n v="12"/>
  </r>
  <r>
    <n v="1343"/>
    <n v="693"/>
    <x v="9"/>
    <d v="2024-04-09T00:00:00"/>
    <n v="6"/>
  </r>
  <r>
    <n v="1344"/>
    <n v="501"/>
    <x v="1"/>
    <d v="2024-03-25T00:00:00"/>
    <n v="7"/>
  </r>
  <r>
    <n v="1345"/>
    <n v="507"/>
    <x v="12"/>
    <d v="2024-05-09T00:00:00"/>
    <n v="6"/>
  </r>
  <r>
    <n v="1346"/>
    <n v="749"/>
    <x v="6"/>
    <d v="2024-09-14T00:00:00"/>
    <n v="17"/>
  </r>
  <r>
    <n v="1347"/>
    <n v="635"/>
    <x v="30"/>
    <d v="2024-12-24T00:00:00"/>
    <n v="12"/>
  </r>
  <r>
    <n v="1348"/>
    <n v="527"/>
    <x v="7"/>
    <d v="2024-08-04T00:00:00"/>
    <n v="16"/>
  </r>
  <r>
    <n v="1349"/>
    <n v="700"/>
    <x v="3"/>
    <d v="2024-08-12T00:00:00"/>
    <n v="19"/>
  </r>
  <r>
    <n v="1350"/>
    <n v="580"/>
    <x v="3"/>
    <d v="2024-01-08T00:00:00"/>
    <n v="14"/>
  </r>
  <r>
    <n v="1351"/>
    <n v="727"/>
    <x v="12"/>
    <d v="2024-10-13T00:00:00"/>
    <n v="7"/>
  </r>
  <r>
    <n v="1352"/>
    <n v="616"/>
    <x v="21"/>
    <d v="2024-06-17T00:00:00"/>
    <n v="18"/>
  </r>
  <r>
    <n v="1353"/>
    <n v="738"/>
    <x v="25"/>
    <d v="2024-04-14T00:00:00"/>
    <n v="19"/>
  </r>
  <r>
    <n v="1354"/>
    <n v="572"/>
    <x v="28"/>
    <d v="2024-10-15T00:00:00"/>
    <n v="9"/>
  </r>
  <r>
    <n v="1355"/>
    <n v="508"/>
    <x v="33"/>
    <d v="2024-08-23T00:00:00"/>
    <n v="11"/>
  </r>
  <r>
    <n v="1356"/>
    <n v="713"/>
    <x v="26"/>
    <d v="2024-05-31T00:00:00"/>
    <n v="13"/>
  </r>
  <r>
    <n v="1357"/>
    <n v="662"/>
    <x v="16"/>
    <d v="2024-02-10T00:00:00"/>
    <n v="3"/>
  </r>
  <r>
    <n v="1358"/>
    <n v="677"/>
    <x v="15"/>
    <d v="2024-06-24T00:00:00"/>
    <n v="16"/>
  </r>
  <r>
    <n v="1359"/>
    <n v="684"/>
    <x v="16"/>
    <d v="2024-11-17T00:00:00"/>
    <n v="2"/>
  </r>
  <r>
    <n v="1360"/>
    <n v="728"/>
    <x v="0"/>
    <d v="2024-06-15T00:00:00"/>
    <n v="10"/>
  </r>
  <r>
    <n v="1361"/>
    <n v="539"/>
    <x v="9"/>
    <d v="2024-11-18T00:00:00"/>
    <n v="18"/>
  </r>
  <r>
    <n v="1362"/>
    <n v="684"/>
    <x v="23"/>
    <d v="2024-11-08T00:00:00"/>
    <n v="7"/>
  </r>
  <r>
    <n v="1363"/>
    <n v="528"/>
    <x v="13"/>
    <d v="2024-08-16T00:00:00"/>
    <n v="19"/>
  </r>
  <r>
    <n v="1364"/>
    <n v="716"/>
    <x v="32"/>
    <d v="2024-02-27T00:00:00"/>
    <n v="1"/>
  </r>
  <r>
    <n v="1365"/>
    <n v="596"/>
    <x v="15"/>
    <d v="2024-12-23T00:00:00"/>
    <n v="17"/>
  </r>
  <r>
    <n v="1366"/>
    <n v="501"/>
    <x v="25"/>
    <d v="2024-01-07T00:00:00"/>
    <n v="19"/>
  </r>
  <r>
    <n v="1367"/>
    <n v="551"/>
    <x v="10"/>
    <d v="2024-11-18T00:00:00"/>
    <n v="6"/>
  </r>
  <r>
    <n v="1368"/>
    <n v="707"/>
    <x v="29"/>
    <d v="2024-12-14T00:00:00"/>
    <n v="6"/>
  </r>
  <r>
    <n v="1369"/>
    <n v="637"/>
    <x v="18"/>
    <d v="2024-01-04T00:00:00"/>
    <n v="5"/>
  </r>
  <r>
    <n v="1370"/>
    <n v="643"/>
    <x v="11"/>
    <d v="2024-11-28T00:00:00"/>
    <n v="2"/>
  </r>
  <r>
    <n v="1371"/>
    <n v="719"/>
    <x v="2"/>
    <d v="2024-11-30T00:00:00"/>
    <n v="5"/>
  </r>
  <r>
    <n v="1372"/>
    <n v="580"/>
    <x v="27"/>
    <d v="2024-03-12T00:00:00"/>
    <n v="8"/>
  </r>
  <r>
    <n v="1373"/>
    <n v="648"/>
    <x v="16"/>
    <d v="2024-03-18T00:00:00"/>
    <n v="14"/>
  </r>
  <r>
    <n v="1374"/>
    <n v="706"/>
    <x v="22"/>
    <d v="2024-06-15T00:00:00"/>
    <n v="16"/>
  </r>
  <r>
    <n v="1375"/>
    <n v="574"/>
    <x v="14"/>
    <d v="2024-06-27T00:00:00"/>
    <n v="19"/>
  </r>
  <r>
    <n v="1376"/>
    <n v="748"/>
    <x v="24"/>
    <d v="2024-07-11T00:00:00"/>
    <n v="6"/>
  </r>
  <r>
    <n v="1377"/>
    <n v="644"/>
    <x v="5"/>
    <d v="2024-05-08T00:00:00"/>
    <n v="20"/>
  </r>
  <r>
    <n v="1378"/>
    <n v="512"/>
    <x v="22"/>
    <d v="2024-01-18T00:00:00"/>
    <n v="16"/>
  </r>
  <r>
    <n v="1379"/>
    <n v="605"/>
    <x v="29"/>
    <d v="2024-09-16T00:00:00"/>
    <n v="16"/>
  </r>
  <r>
    <n v="1380"/>
    <n v="658"/>
    <x v="18"/>
    <d v="2024-03-26T00:00:00"/>
    <n v="11"/>
  </r>
  <r>
    <n v="1381"/>
    <n v="657"/>
    <x v="7"/>
    <d v="2024-02-27T00:00:00"/>
    <n v="9"/>
  </r>
  <r>
    <n v="1382"/>
    <n v="589"/>
    <x v="7"/>
    <d v="2024-04-24T00:00:00"/>
    <n v="4"/>
  </r>
  <r>
    <n v="1383"/>
    <n v="682"/>
    <x v="22"/>
    <d v="2024-11-23T00:00:00"/>
    <n v="8"/>
  </r>
  <r>
    <n v="1384"/>
    <n v="658"/>
    <x v="2"/>
    <d v="2024-08-10T00:00:00"/>
    <n v="2"/>
  </r>
  <r>
    <n v="1385"/>
    <n v="539"/>
    <x v="27"/>
    <d v="2024-01-04T00:00:00"/>
    <n v="15"/>
  </r>
  <r>
    <n v="1386"/>
    <n v="690"/>
    <x v="11"/>
    <d v="2024-10-08T00:00:00"/>
    <n v="10"/>
  </r>
  <r>
    <n v="1387"/>
    <n v="539"/>
    <x v="25"/>
    <d v="2024-12-16T00:00:00"/>
    <n v="10"/>
  </r>
  <r>
    <n v="1388"/>
    <n v="715"/>
    <x v="33"/>
    <d v="2024-02-12T00:00:00"/>
    <n v="1"/>
  </r>
  <r>
    <n v="1389"/>
    <n v="681"/>
    <x v="31"/>
    <d v="2024-10-15T00:00:00"/>
    <n v="6"/>
  </r>
  <r>
    <n v="1390"/>
    <n v="659"/>
    <x v="20"/>
    <d v="2024-07-21T00:00:00"/>
    <n v="8"/>
  </r>
  <r>
    <n v="1391"/>
    <n v="574"/>
    <x v="16"/>
    <d v="2024-10-25T00:00:00"/>
    <n v="6"/>
  </r>
  <r>
    <n v="1392"/>
    <n v="596"/>
    <x v="18"/>
    <d v="2024-07-01T00:00:00"/>
    <n v="12"/>
  </r>
  <r>
    <n v="1393"/>
    <n v="552"/>
    <x v="23"/>
    <d v="2024-04-03T00:00:00"/>
    <n v="13"/>
  </r>
  <r>
    <n v="1394"/>
    <n v="533"/>
    <x v="18"/>
    <d v="2024-10-27T00:00:00"/>
    <n v="20"/>
  </r>
  <r>
    <n v="1395"/>
    <n v="693"/>
    <x v="5"/>
    <d v="2024-06-08T00:00:00"/>
    <n v="15"/>
  </r>
  <r>
    <n v="1396"/>
    <n v="678"/>
    <x v="11"/>
    <d v="2024-10-26T00:00:00"/>
    <n v="18"/>
  </r>
  <r>
    <n v="1397"/>
    <n v="655"/>
    <x v="11"/>
    <d v="2024-09-30T00:00:00"/>
    <n v="20"/>
  </r>
  <r>
    <n v="1398"/>
    <n v="710"/>
    <x v="7"/>
    <d v="2024-01-11T00:00:00"/>
    <n v="15"/>
  </r>
  <r>
    <n v="1399"/>
    <n v="721"/>
    <x v="14"/>
    <d v="2024-06-17T00:00:00"/>
    <n v="8"/>
  </r>
  <r>
    <n v="1400"/>
    <n v="697"/>
    <x v="7"/>
    <d v="2024-11-16T00:00:00"/>
    <n v="2"/>
  </r>
  <r>
    <n v="1401"/>
    <n v="648"/>
    <x v="31"/>
    <d v="2024-09-12T00:00:00"/>
    <n v="2"/>
  </r>
  <r>
    <n v="1402"/>
    <n v="633"/>
    <x v="24"/>
    <d v="2024-09-16T00:00:00"/>
    <n v="12"/>
  </r>
  <r>
    <n v="1403"/>
    <n v="677"/>
    <x v="27"/>
    <d v="2024-03-19T00:00:00"/>
    <n v="6"/>
  </r>
  <r>
    <n v="1404"/>
    <n v="587"/>
    <x v="20"/>
    <d v="2024-05-18T00:00:00"/>
    <n v="13"/>
  </r>
  <r>
    <n v="1405"/>
    <n v="506"/>
    <x v="17"/>
    <d v="2024-10-21T00:00:00"/>
    <n v="10"/>
  </r>
  <r>
    <n v="1406"/>
    <n v="556"/>
    <x v="7"/>
    <d v="2024-03-22T00:00:00"/>
    <n v="16"/>
  </r>
  <r>
    <n v="1407"/>
    <n v="614"/>
    <x v="3"/>
    <d v="2024-10-06T00:00:00"/>
    <n v="14"/>
  </r>
  <r>
    <n v="1408"/>
    <n v="679"/>
    <x v="10"/>
    <d v="2024-10-28T00:00:00"/>
    <n v="2"/>
  </r>
  <r>
    <n v="1409"/>
    <n v="588"/>
    <x v="29"/>
    <d v="2024-09-12T00:00:00"/>
    <n v="16"/>
  </r>
  <r>
    <n v="1410"/>
    <n v="610"/>
    <x v="11"/>
    <d v="2024-07-24T00:00:00"/>
    <n v="18"/>
  </r>
  <r>
    <n v="1411"/>
    <n v="568"/>
    <x v="8"/>
    <d v="2024-06-17T00:00:00"/>
    <n v="10"/>
  </r>
  <r>
    <n v="1412"/>
    <n v="736"/>
    <x v="19"/>
    <d v="2024-05-10T00:00:00"/>
    <n v="19"/>
  </r>
  <r>
    <n v="1413"/>
    <n v="732"/>
    <x v="33"/>
    <d v="2024-12-17T00:00:00"/>
    <n v="20"/>
  </r>
  <r>
    <n v="1414"/>
    <n v="628"/>
    <x v="24"/>
    <d v="2024-10-04T00:00:00"/>
    <n v="18"/>
  </r>
  <r>
    <n v="1415"/>
    <n v="636"/>
    <x v="7"/>
    <d v="2024-11-04T00:00:00"/>
    <n v="7"/>
  </r>
  <r>
    <n v="1416"/>
    <n v="695"/>
    <x v="18"/>
    <d v="2024-03-22T00:00:00"/>
    <n v="8"/>
  </r>
  <r>
    <n v="1417"/>
    <n v="559"/>
    <x v="4"/>
    <d v="2024-03-13T00:00:00"/>
    <n v="19"/>
  </r>
  <r>
    <n v="1418"/>
    <n v="663"/>
    <x v="8"/>
    <d v="2024-01-17T00:00:00"/>
    <n v="15"/>
  </r>
  <r>
    <n v="1419"/>
    <n v="671"/>
    <x v="2"/>
    <d v="2024-09-21T00:00:00"/>
    <n v="8"/>
  </r>
  <r>
    <n v="1420"/>
    <n v="702"/>
    <x v="11"/>
    <d v="2024-06-28T00:00:00"/>
    <n v="19"/>
  </r>
  <r>
    <n v="1421"/>
    <n v="537"/>
    <x v="3"/>
    <d v="2024-11-14T00:00:00"/>
    <n v="1"/>
  </r>
  <r>
    <n v="1422"/>
    <n v="646"/>
    <x v="29"/>
    <d v="2024-02-09T00:00:00"/>
    <n v="16"/>
  </r>
  <r>
    <n v="1423"/>
    <n v="538"/>
    <x v="19"/>
    <d v="2024-12-31T00:00:00"/>
    <n v="20"/>
  </r>
  <r>
    <n v="1424"/>
    <n v="610"/>
    <x v="32"/>
    <d v="2024-02-21T00:00:00"/>
    <n v="4"/>
  </r>
  <r>
    <n v="1425"/>
    <n v="583"/>
    <x v="17"/>
    <d v="2024-05-25T00:00:00"/>
    <n v="9"/>
  </r>
  <r>
    <n v="1426"/>
    <n v="578"/>
    <x v="6"/>
    <d v="2024-12-02T00:00:00"/>
    <n v="5"/>
  </r>
  <r>
    <n v="1427"/>
    <n v="562"/>
    <x v="10"/>
    <d v="2024-06-24T00:00:00"/>
    <n v="7"/>
  </r>
  <r>
    <n v="1428"/>
    <n v="574"/>
    <x v="29"/>
    <d v="2024-08-06T00:00:00"/>
    <n v="6"/>
  </r>
  <r>
    <n v="1429"/>
    <n v="590"/>
    <x v="12"/>
    <d v="2024-12-05T00:00:00"/>
    <n v="16"/>
  </r>
  <r>
    <n v="1430"/>
    <n v="683"/>
    <x v="14"/>
    <d v="2024-11-20T00:00:00"/>
    <n v="8"/>
  </r>
  <r>
    <n v="1431"/>
    <n v="629"/>
    <x v="7"/>
    <d v="2024-06-23T00:00:00"/>
    <n v="1"/>
  </r>
  <r>
    <n v="1432"/>
    <n v="563"/>
    <x v="22"/>
    <d v="2024-05-15T00:00:00"/>
    <n v="15"/>
  </r>
  <r>
    <n v="1433"/>
    <n v="505"/>
    <x v="7"/>
    <d v="2024-06-19T00:00:00"/>
    <n v="19"/>
  </r>
  <r>
    <n v="1434"/>
    <n v="673"/>
    <x v="4"/>
    <d v="2024-01-16T00:00:00"/>
    <n v="17"/>
  </r>
  <r>
    <n v="1435"/>
    <n v="622"/>
    <x v="18"/>
    <d v="2024-03-23T00:00:00"/>
    <n v="2"/>
  </r>
  <r>
    <n v="1436"/>
    <n v="537"/>
    <x v="0"/>
    <d v="2024-03-04T00:00:00"/>
    <n v="19"/>
  </r>
  <r>
    <n v="1437"/>
    <n v="544"/>
    <x v="13"/>
    <d v="2024-07-31T00:00:00"/>
    <n v="14"/>
  </r>
  <r>
    <n v="1438"/>
    <n v="635"/>
    <x v="33"/>
    <d v="2024-10-17T00:00:00"/>
    <n v="15"/>
  </r>
  <r>
    <n v="1439"/>
    <n v="686"/>
    <x v="18"/>
    <d v="2024-05-13T00:00:00"/>
    <n v="7"/>
  </r>
  <r>
    <n v="1440"/>
    <n v="677"/>
    <x v="6"/>
    <d v="2024-01-07T00:00:00"/>
    <n v="20"/>
  </r>
  <r>
    <n v="1441"/>
    <n v="513"/>
    <x v="21"/>
    <d v="2024-02-10T00:00:00"/>
    <n v="12"/>
  </r>
  <r>
    <n v="1442"/>
    <n v="604"/>
    <x v="1"/>
    <d v="2024-09-23T00:00:00"/>
    <n v="14"/>
  </r>
  <r>
    <n v="1443"/>
    <n v="700"/>
    <x v="5"/>
    <d v="2024-10-11T00:00:00"/>
    <n v="1"/>
  </r>
  <r>
    <n v="1444"/>
    <n v="691"/>
    <x v="13"/>
    <d v="2024-01-30T00:00:00"/>
    <n v="15"/>
  </r>
  <r>
    <n v="1445"/>
    <n v="604"/>
    <x v="24"/>
    <d v="2024-04-21T00:00:00"/>
    <n v="9"/>
  </r>
  <r>
    <n v="1446"/>
    <n v="676"/>
    <x v="20"/>
    <d v="2024-12-21T00:00:00"/>
    <n v="19"/>
  </r>
  <r>
    <n v="1447"/>
    <n v="597"/>
    <x v="22"/>
    <d v="2024-09-30T00:00:00"/>
    <n v="2"/>
  </r>
  <r>
    <n v="1448"/>
    <n v="578"/>
    <x v="8"/>
    <d v="2024-09-06T00:00:00"/>
    <n v="16"/>
  </r>
  <r>
    <n v="1449"/>
    <n v="674"/>
    <x v="14"/>
    <d v="2024-07-07T00:00:00"/>
    <n v="16"/>
  </r>
  <r>
    <n v="1450"/>
    <n v="701"/>
    <x v="17"/>
    <d v="2024-02-27T00:00:00"/>
    <n v="9"/>
  </r>
  <r>
    <n v="1451"/>
    <n v="568"/>
    <x v="27"/>
    <d v="2024-11-05T00:00:00"/>
    <n v="4"/>
  </r>
  <r>
    <n v="1452"/>
    <n v="750"/>
    <x v="11"/>
    <d v="2024-08-18T00:00:00"/>
    <n v="10"/>
  </r>
  <r>
    <n v="1453"/>
    <n v="511"/>
    <x v="15"/>
    <d v="2024-08-28T00:00:00"/>
    <n v="2"/>
  </r>
  <r>
    <n v="1454"/>
    <n v="544"/>
    <x v="23"/>
    <d v="2024-01-25T00:00:00"/>
    <n v="10"/>
  </r>
  <r>
    <n v="1455"/>
    <n v="522"/>
    <x v="27"/>
    <d v="2024-10-18T00:00:00"/>
    <n v="12"/>
  </r>
  <r>
    <n v="1456"/>
    <n v="622"/>
    <x v="4"/>
    <d v="2024-11-07T00:00:00"/>
    <n v="19"/>
  </r>
  <r>
    <n v="1457"/>
    <n v="673"/>
    <x v="9"/>
    <d v="2024-05-17T00:00:00"/>
    <n v="8"/>
  </r>
  <r>
    <n v="1458"/>
    <n v="706"/>
    <x v="3"/>
    <d v="2024-03-09T00:00:00"/>
    <n v="3"/>
  </r>
  <r>
    <n v="1459"/>
    <n v="626"/>
    <x v="29"/>
    <d v="2024-02-22T00:00:00"/>
    <n v="8"/>
  </r>
  <r>
    <n v="1460"/>
    <n v="727"/>
    <x v="1"/>
    <d v="2024-11-24T00:00:00"/>
    <n v="20"/>
  </r>
  <r>
    <n v="1461"/>
    <n v="608"/>
    <x v="23"/>
    <d v="2024-01-22T00:00:00"/>
    <n v="16"/>
  </r>
  <r>
    <n v="1462"/>
    <n v="562"/>
    <x v="31"/>
    <d v="2024-01-27T00:00:00"/>
    <n v="10"/>
  </r>
  <r>
    <n v="1463"/>
    <n v="546"/>
    <x v="30"/>
    <d v="2024-09-16T00:00:00"/>
    <n v="13"/>
  </r>
  <r>
    <n v="1464"/>
    <n v="531"/>
    <x v="24"/>
    <d v="2024-01-13T00:00:00"/>
    <n v="7"/>
  </r>
  <r>
    <n v="1465"/>
    <n v="705"/>
    <x v="6"/>
    <d v="2024-08-22T00:00:00"/>
    <n v="6"/>
  </r>
  <r>
    <n v="1466"/>
    <n v="504"/>
    <x v="3"/>
    <d v="2024-10-17T00:00:00"/>
    <n v="20"/>
  </r>
  <r>
    <n v="1467"/>
    <n v="546"/>
    <x v="17"/>
    <d v="2024-09-02T00:00:00"/>
    <n v="19"/>
  </r>
  <r>
    <n v="1468"/>
    <n v="513"/>
    <x v="8"/>
    <d v="2024-06-14T00:00:00"/>
    <n v="2"/>
  </r>
  <r>
    <n v="1469"/>
    <n v="716"/>
    <x v="7"/>
    <d v="2024-06-19T00:00:00"/>
    <n v="12"/>
  </r>
  <r>
    <n v="1470"/>
    <n v="713"/>
    <x v="11"/>
    <d v="2024-04-05T00:00:00"/>
    <n v="6"/>
  </r>
  <r>
    <n v="1471"/>
    <n v="509"/>
    <x v="27"/>
    <d v="2024-04-12T00:00:00"/>
    <n v="13"/>
  </r>
  <r>
    <n v="1472"/>
    <n v="708"/>
    <x v="17"/>
    <d v="2024-01-29T00:00:00"/>
    <n v="15"/>
  </r>
  <r>
    <n v="1473"/>
    <n v="527"/>
    <x v="2"/>
    <d v="2024-01-12T00:00:00"/>
    <n v="3"/>
  </r>
  <r>
    <n v="1474"/>
    <n v="744"/>
    <x v="14"/>
    <d v="2024-08-07T00:00:00"/>
    <n v="1"/>
  </r>
  <r>
    <n v="1475"/>
    <n v="573"/>
    <x v="12"/>
    <d v="2024-03-14T00:00:00"/>
    <n v="4"/>
  </r>
  <r>
    <n v="1476"/>
    <n v="603"/>
    <x v="28"/>
    <d v="2024-11-27T00:00:00"/>
    <n v="18"/>
  </r>
  <r>
    <n v="1477"/>
    <n v="562"/>
    <x v="21"/>
    <d v="2024-07-06T00:00:00"/>
    <n v="17"/>
  </r>
  <r>
    <n v="1478"/>
    <n v="706"/>
    <x v="1"/>
    <d v="2024-12-24T00:00:00"/>
    <n v="6"/>
  </r>
  <r>
    <n v="1479"/>
    <n v="610"/>
    <x v="11"/>
    <d v="2024-03-07T00:00:00"/>
    <n v="2"/>
  </r>
  <r>
    <n v="1480"/>
    <n v="599"/>
    <x v="6"/>
    <d v="2024-05-09T00:00:00"/>
    <n v="13"/>
  </r>
  <r>
    <n v="1481"/>
    <n v="721"/>
    <x v="7"/>
    <d v="2024-06-15T00:00:00"/>
    <n v="16"/>
  </r>
  <r>
    <n v="1482"/>
    <n v="660"/>
    <x v="13"/>
    <d v="2024-01-13T00:00:00"/>
    <n v="3"/>
  </r>
  <r>
    <n v="1483"/>
    <n v="508"/>
    <x v="14"/>
    <d v="2024-07-25T00:00:00"/>
    <n v="4"/>
  </r>
  <r>
    <n v="1484"/>
    <n v="653"/>
    <x v="5"/>
    <d v="2024-06-05T00:00:00"/>
    <n v="3"/>
  </r>
  <r>
    <n v="1485"/>
    <n v="602"/>
    <x v="6"/>
    <d v="2024-08-28T00:00:00"/>
    <n v="4"/>
  </r>
  <r>
    <n v="1486"/>
    <n v="568"/>
    <x v="17"/>
    <d v="2024-09-12T00:00:00"/>
    <n v="3"/>
  </r>
  <r>
    <n v="1487"/>
    <n v="726"/>
    <x v="19"/>
    <d v="2024-05-14T00:00:00"/>
    <n v="12"/>
  </r>
  <r>
    <n v="1488"/>
    <n v="509"/>
    <x v="19"/>
    <d v="2024-01-05T00:00:00"/>
    <n v="12"/>
  </r>
  <r>
    <n v="1489"/>
    <n v="626"/>
    <x v="2"/>
    <d v="2024-02-29T00:00:00"/>
    <n v="15"/>
  </r>
  <r>
    <n v="1490"/>
    <n v="506"/>
    <x v="18"/>
    <d v="2024-08-05T00:00:00"/>
    <n v="2"/>
  </r>
  <r>
    <n v="1491"/>
    <n v="569"/>
    <x v="1"/>
    <d v="2024-11-21T00:00:00"/>
    <n v="13"/>
  </r>
  <r>
    <n v="1492"/>
    <n v="711"/>
    <x v="12"/>
    <d v="2024-11-02T00:00:00"/>
    <n v="5"/>
  </r>
  <r>
    <n v="1493"/>
    <n v="724"/>
    <x v="28"/>
    <d v="2024-04-25T00:00:00"/>
    <n v="19"/>
  </r>
  <r>
    <n v="1494"/>
    <n v="583"/>
    <x v="14"/>
    <d v="2024-04-13T00:00:00"/>
    <n v="2"/>
  </r>
  <r>
    <n v="1495"/>
    <n v="642"/>
    <x v="30"/>
    <d v="2024-08-09T00:00:00"/>
    <n v="20"/>
  </r>
  <r>
    <n v="1496"/>
    <n v="654"/>
    <x v="3"/>
    <d v="2024-09-29T00:00:00"/>
    <n v="9"/>
  </r>
  <r>
    <n v="1497"/>
    <n v="741"/>
    <x v="13"/>
    <d v="2024-08-04T00:00:00"/>
    <n v="16"/>
  </r>
  <r>
    <n v="1498"/>
    <n v="530"/>
    <x v="28"/>
    <d v="2024-07-12T00:00:00"/>
    <n v="18"/>
  </r>
  <r>
    <n v="1499"/>
    <n v="599"/>
    <x v="1"/>
    <d v="2024-08-01T00:00:00"/>
    <n v="20"/>
  </r>
  <r>
    <n v="1500"/>
    <n v="562"/>
    <x v="8"/>
    <d v="2024-06-09T00:00:00"/>
    <n v="16"/>
  </r>
  <r>
    <n v="1501"/>
    <n v="634"/>
    <x v="18"/>
    <d v="2024-12-01T00:00:00"/>
    <n v="20"/>
  </r>
  <r>
    <n v="1502"/>
    <n v="554"/>
    <x v="14"/>
    <d v="2024-04-19T00:00:00"/>
    <n v="13"/>
  </r>
  <r>
    <n v="1503"/>
    <n v="649"/>
    <x v="18"/>
    <d v="2024-01-16T00:00:00"/>
    <n v="12"/>
  </r>
  <r>
    <n v="1504"/>
    <n v="567"/>
    <x v="1"/>
    <d v="2024-09-18T00:00:00"/>
    <n v="5"/>
  </r>
  <r>
    <n v="1505"/>
    <n v="634"/>
    <x v="6"/>
    <d v="2024-04-15T00:00:00"/>
    <n v="3"/>
  </r>
  <r>
    <n v="1506"/>
    <n v="668"/>
    <x v="3"/>
    <d v="2024-05-12T00:00:00"/>
    <n v="18"/>
  </r>
  <r>
    <n v="1507"/>
    <n v="627"/>
    <x v="5"/>
    <d v="2024-11-26T00:00:00"/>
    <n v="11"/>
  </r>
  <r>
    <n v="1508"/>
    <n v="518"/>
    <x v="2"/>
    <d v="2024-11-23T00:00:00"/>
    <n v="14"/>
  </r>
  <r>
    <n v="1509"/>
    <n v="514"/>
    <x v="4"/>
    <d v="2024-10-08T00:00:00"/>
    <n v="10"/>
  </r>
  <r>
    <n v="1510"/>
    <n v="593"/>
    <x v="2"/>
    <d v="2024-05-27T00:00:00"/>
    <n v="9"/>
  </r>
  <r>
    <n v="1511"/>
    <n v="687"/>
    <x v="16"/>
    <d v="2024-07-17T00:00:00"/>
    <n v="2"/>
  </r>
  <r>
    <n v="1512"/>
    <n v="585"/>
    <x v="6"/>
    <d v="2024-09-28T00:00:00"/>
    <n v="3"/>
  </r>
  <r>
    <n v="1513"/>
    <n v="603"/>
    <x v="4"/>
    <d v="2024-03-08T00:00:00"/>
    <n v="5"/>
  </r>
  <r>
    <n v="1514"/>
    <n v="517"/>
    <x v="19"/>
    <d v="2024-05-01T00:00:00"/>
    <n v="4"/>
  </r>
  <r>
    <n v="1515"/>
    <n v="618"/>
    <x v="23"/>
    <d v="2024-01-20T00:00:00"/>
    <n v="12"/>
  </r>
  <r>
    <n v="1516"/>
    <n v="607"/>
    <x v="7"/>
    <d v="2024-07-16T00:00:00"/>
    <n v="15"/>
  </r>
  <r>
    <n v="1517"/>
    <n v="526"/>
    <x v="5"/>
    <d v="2024-11-20T00:00:00"/>
    <n v="19"/>
  </r>
  <r>
    <n v="1518"/>
    <n v="692"/>
    <x v="6"/>
    <d v="2024-10-19T00:00:00"/>
    <n v="12"/>
  </r>
  <r>
    <n v="1519"/>
    <n v="555"/>
    <x v="18"/>
    <d v="2024-07-18T00:00:00"/>
    <n v="15"/>
  </r>
  <r>
    <n v="1520"/>
    <n v="591"/>
    <x v="33"/>
    <d v="2024-03-24T00:00:00"/>
    <n v="7"/>
  </r>
  <r>
    <n v="1521"/>
    <n v="705"/>
    <x v="8"/>
    <d v="2024-02-18T00:00:00"/>
    <n v="10"/>
  </r>
  <r>
    <n v="1522"/>
    <n v="674"/>
    <x v="15"/>
    <d v="2024-06-30T00:00:00"/>
    <n v="13"/>
  </r>
  <r>
    <n v="1523"/>
    <n v="680"/>
    <x v="17"/>
    <d v="2024-09-27T00:00:00"/>
    <n v="6"/>
  </r>
  <r>
    <n v="1524"/>
    <n v="709"/>
    <x v="28"/>
    <d v="2024-02-18T00:00:00"/>
    <n v="7"/>
  </r>
  <r>
    <n v="1525"/>
    <n v="659"/>
    <x v="7"/>
    <d v="2024-06-17T00:00:00"/>
    <n v="14"/>
  </r>
  <r>
    <n v="1526"/>
    <n v="652"/>
    <x v="15"/>
    <d v="2024-11-02T00:00:00"/>
    <n v="17"/>
  </r>
  <r>
    <n v="1527"/>
    <n v="702"/>
    <x v="2"/>
    <d v="2024-07-15T00:00:00"/>
    <n v="11"/>
  </r>
  <r>
    <n v="1528"/>
    <n v="533"/>
    <x v="3"/>
    <d v="2024-05-21T00:00:00"/>
    <n v="2"/>
  </r>
  <r>
    <n v="1529"/>
    <n v="589"/>
    <x v="13"/>
    <d v="2024-03-13T00:00:00"/>
    <n v="1"/>
  </r>
  <r>
    <n v="1530"/>
    <n v="632"/>
    <x v="0"/>
    <d v="2024-08-30T00:00:00"/>
    <n v="15"/>
  </r>
  <r>
    <n v="1531"/>
    <n v="536"/>
    <x v="15"/>
    <d v="2024-01-08T00:00:00"/>
    <n v="15"/>
  </r>
  <r>
    <n v="1532"/>
    <n v="708"/>
    <x v="8"/>
    <d v="2024-06-17T00:00:00"/>
    <n v="16"/>
  </r>
  <r>
    <n v="1533"/>
    <n v="653"/>
    <x v="14"/>
    <d v="2024-05-22T00:00:00"/>
    <n v="6"/>
  </r>
  <r>
    <n v="1534"/>
    <n v="620"/>
    <x v="29"/>
    <d v="2024-12-07T00:00:00"/>
    <n v="15"/>
  </r>
  <r>
    <n v="1535"/>
    <n v="598"/>
    <x v="21"/>
    <d v="2024-05-03T00:00:00"/>
    <n v="7"/>
  </r>
  <r>
    <n v="1536"/>
    <n v="589"/>
    <x v="11"/>
    <d v="2024-11-26T00:00:00"/>
    <n v="4"/>
  </r>
  <r>
    <n v="1537"/>
    <n v="505"/>
    <x v="22"/>
    <d v="2024-11-08T00:00:00"/>
    <n v="14"/>
  </r>
  <r>
    <n v="1538"/>
    <n v="623"/>
    <x v="33"/>
    <d v="2024-04-02T00:00:00"/>
    <n v="9"/>
  </r>
  <r>
    <n v="1539"/>
    <n v="587"/>
    <x v="29"/>
    <d v="2024-07-26T00:00:00"/>
    <n v="19"/>
  </r>
  <r>
    <n v="1540"/>
    <n v="524"/>
    <x v="18"/>
    <d v="2024-06-07T00:00:00"/>
    <n v="3"/>
  </r>
  <r>
    <n v="1541"/>
    <n v="694"/>
    <x v="20"/>
    <d v="2024-06-11T00:00:00"/>
    <n v="17"/>
  </r>
  <r>
    <n v="1542"/>
    <n v="660"/>
    <x v="6"/>
    <d v="2024-05-16T00:00:00"/>
    <n v="13"/>
  </r>
  <r>
    <n v="1543"/>
    <n v="551"/>
    <x v="16"/>
    <d v="2024-12-14T00:00:00"/>
    <n v="10"/>
  </r>
  <r>
    <n v="1544"/>
    <n v="509"/>
    <x v="11"/>
    <d v="2024-05-14T00:00:00"/>
    <n v="10"/>
  </r>
  <r>
    <n v="1545"/>
    <n v="690"/>
    <x v="24"/>
    <d v="2024-10-06T00:00:00"/>
    <n v="14"/>
  </r>
  <r>
    <n v="1546"/>
    <n v="509"/>
    <x v="31"/>
    <d v="2024-04-08T00:00:00"/>
    <n v="14"/>
  </r>
  <r>
    <n v="1547"/>
    <n v="749"/>
    <x v="17"/>
    <d v="2024-05-05T00:00:00"/>
    <n v="13"/>
  </r>
  <r>
    <n v="1548"/>
    <n v="669"/>
    <x v="8"/>
    <d v="2024-10-19T00:00:00"/>
    <n v="11"/>
  </r>
  <r>
    <n v="1549"/>
    <n v="730"/>
    <x v="8"/>
    <d v="2024-06-20T00:00:00"/>
    <n v="10"/>
  </r>
  <r>
    <n v="1550"/>
    <n v="589"/>
    <x v="5"/>
    <d v="2024-10-24T00:00:00"/>
    <n v="17"/>
  </r>
  <r>
    <n v="1551"/>
    <n v="507"/>
    <x v="15"/>
    <d v="2024-06-26T00:00:00"/>
    <n v="15"/>
  </r>
  <r>
    <n v="1552"/>
    <n v="581"/>
    <x v="0"/>
    <d v="2024-01-13T00:00:00"/>
    <n v="10"/>
  </r>
  <r>
    <n v="1553"/>
    <n v="569"/>
    <x v="15"/>
    <d v="2024-10-19T00:00:00"/>
    <n v="20"/>
  </r>
  <r>
    <n v="1554"/>
    <n v="567"/>
    <x v="11"/>
    <d v="2024-09-08T00:00:00"/>
    <n v="13"/>
  </r>
  <r>
    <n v="1555"/>
    <n v="589"/>
    <x v="4"/>
    <d v="2024-05-24T00:00:00"/>
    <n v="1"/>
  </r>
  <r>
    <n v="1556"/>
    <n v="637"/>
    <x v="3"/>
    <d v="2024-06-26T00:00:00"/>
    <n v="2"/>
  </r>
  <r>
    <n v="1557"/>
    <n v="564"/>
    <x v="29"/>
    <d v="2024-11-11T00:00:00"/>
    <n v="17"/>
  </r>
  <r>
    <n v="1558"/>
    <n v="577"/>
    <x v="0"/>
    <d v="2024-01-14T00:00:00"/>
    <n v="13"/>
  </r>
  <r>
    <n v="1559"/>
    <n v="672"/>
    <x v="19"/>
    <d v="2024-04-25T00:00:00"/>
    <n v="16"/>
  </r>
  <r>
    <n v="1560"/>
    <n v="636"/>
    <x v="15"/>
    <d v="2024-10-06T00:00:00"/>
    <n v="14"/>
  </r>
  <r>
    <n v="1561"/>
    <n v="527"/>
    <x v="9"/>
    <d v="2024-11-27T00:00:00"/>
    <n v="5"/>
  </r>
  <r>
    <n v="1562"/>
    <n v="560"/>
    <x v="26"/>
    <d v="2024-05-30T00:00:00"/>
    <n v="13"/>
  </r>
  <r>
    <n v="1563"/>
    <n v="734"/>
    <x v="30"/>
    <d v="2024-08-27T00:00:00"/>
    <n v="18"/>
  </r>
  <r>
    <n v="1564"/>
    <n v="744"/>
    <x v="21"/>
    <d v="2024-12-25T00:00:00"/>
    <n v="16"/>
  </r>
  <r>
    <n v="1565"/>
    <n v="610"/>
    <x v="29"/>
    <d v="2024-10-04T00:00:00"/>
    <n v="19"/>
  </r>
  <r>
    <n v="1566"/>
    <n v="661"/>
    <x v="13"/>
    <d v="2024-11-06T00:00:00"/>
    <n v="1"/>
  </r>
  <r>
    <n v="1567"/>
    <n v="633"/>
    <x v="3"/>
    <d v="2024-03-28T00:00:00"/>
    <n v="11"/>
  </r>
  <r>
    <n v="1568"/>
    <n v="677"/>
    <x v="22"/>
    <d v="2024-10-09T00:00:00"/>
    <n v="1"/>
  </r>
  <r>
    <n v="1569"/>
    <n v="550"/>
    <x v="14"/>
    <d v="2024-06-30T00:00:00"/>
    <n v="9"/>
  </r>
  <r>
    <n v="1570"/>
    <n v="689"/>
    <x v="11"/>
    <d v="2024-02-12T00:00:00"/>
    <n v="5"/>
  </r>
  <r>
    <n v="1571"/>
    <n v="682"/>
    <x v="33"/>
    <d v="2024-06-02T00:00:00"/>
    <n v="14"/>
  </r>
  <r>
    <n v="1572"/>
    <n v="657"/>
    <x v="25"/>
    <d v="2024-11-29T00:00:00"/>
    <n v="18"/>
  </r>
  <r>
    <n v="1573"/>
    <n v="711"/>
    <x v="33"/>
    <d v="2024-02-12T00:00:00"/>
    <n v="16"/>
  </r>
  <r>
    <n v="1574"/>
    <n v="555"/>
    <x v="24"/>
    <d v="2024-07-13T00:00:00"/>
    <n v="3"/>
  </r>
  <r>
    <n v="1575"/>
    <n v="663"/>
    <x v="33"/>
    <d v="2024-05-10T00:00:00"/>
    <n v="9"/>
  </r>
  <r>
    <n v="1576"/>
    <n v="527"/>
    <x v="15"/>
    <d v="2024-08-02T00:00:00"/>
    <n v="11"/>
  </r>
  <r>
    <n v="1577"/>
    <n v="694"/>
    <x v="23"/>
    <d v="2024-07-18T00:00:00"/>
    <n v="15"/>
  </r>
  <r>
    <n v="1578"/>
    <n v="671"/>
    <x v="9"/>
    <d v="2024-12-04T00:00:00"/>
    <n v="8"/>
  </r>
  <r>
    <n v="1579"/>
    <n v="683"/>
    <x v="0"/>
    <d v="2024-04-30T00:00:00"/>
    <n v="20"/>
  </r>
  <r>
    <n v="1580"/>
    <n v="728"/>
    <x v="13"/>
    <d v="2024-06-25T00:00:00"/>
    <n v="7"/>
  </r>
  <r>
    <n v="1581"/>
    <n v="504"/>
    <x v="12"/>
    <d v="2024-04-02T00:00:00"/>
    <n v="18"/>
  </r>
  <r>
    <n v="1582"/>
    <n v="537"/>
    <x v="27"/>
    <d v="2024-09-23T00:00:00"/>
    <n v="7"/>
  </r>
  <r>
    <n v="1583"/>
    <n v="656"/>
    <x v="6"/>
    <d v="2024-12-18T00:00:00"/>
    <n v="15"/>
  </r>
  <r>
    <n v="1584"/>
    <n v="640"/>
    <x v="9"/>
    <d v="2024-03-12T00:00:00"/>
    <n v="4"/>
  </r>
  <r>
    <n v="1585"/>
    <n v="514"/>
    <x v="29"/>
    <d v="2024-09-22T00:00:00"/>
    <n v="13"/>
  </r>
  <r>
    <n v="1586"/>
    <n v="503"/>
    <x v="21"/>
    <d v="2024-07-21T00:00:00"/>
    <n v="16"/>
  </r>
  <r>
    <n v="1587"/>
    <n v="669"/>
    <x v="15"/>
    <d v="2024-12-21T00:00:00"/>
    <n v="9"/>
  </r>
  <r>
    <n v="1588"/>
    <n v="552"/>
    <x v="27"/>
    <d v="2024-05-20T00:00:00"/>
    <n v="20"/>
  </r>
  <r>
    <n v="1589"/>
    <n v="702"/>
    <x v="9"/>
    <d v="2024-03-30T00:00:00"/>
    <n v="15"/>
  </r>
  <r>
    <n v="1590"/>
    <n v="679"/>
    <x v="22"/>
    <d v="2024-04-14T00:00:00"/>
    <n v="7"/>
  </r>
  <r>
    <n v="1591"/>
    <n v="601"/>
    <x v="28"/>
    <d v="2024-01-29T00:00:00"/>
    <n v="2"/>
  </r>
  <r>
    <n v="1592"/>
    <n v="592"/>
    <x v="1"/>
    <d v="2024-02-23T00:00:00"/>
    <n v="19"/>
  </r>
  <r>
    <n v="1593"/>
    <n v="548"/>
    <x v="31"/>
    <d v="2024-06-24T00:00:00"/>
    <n v="1"/>
  </r>
  <r>
    <n v="1594"/>
    <n v="743"/>
    <x v="30"/>
    <d v="2024-10-24T00:00:00"/>
    <n v="6"/>
  </r>
  <r>
    <n v="1595"/>
    <n v="603"/>
    <x v="5"/>
    <d v="2024-12-30T00:00:00"/>
    <n v="19"/>
  </r>
  <r>
    <n v="1596"/>
    <n v="665"/>
    <x v="6"/>
    <d v="2024-03-20T00:00:00"/>
    <n v="7"/>
  </r>
  <r>
    <n v="1597"/>
    <n v="654"/>
    <x v="33"/>
    <d v="2024-04-17T00:00:00"/>
    <n v="20"/>
  </r>
  <r>
    <n v="1598"/>
    <n v="623"/>
    <x v="23"/>
    <d v="2024-12-18T00:00:00"/>
    <n v="18"/>
  </r>
  <r>
    <n v="1599"/>
    <n v="517"/>
    <x v="23"/>
    <d v="2024-03-07T00:00:00"/>
    <n v="9"/>
  </r>
  <r>
    <n v="1600"/>
    <n v="742"/>
    <x v="17"/>
    <d v="2024-10-20T00:00:00"/>
    <n v="10"/>
  </r>
  <r>
    <n v="1601"/>
    <n v="706"/>
    <x v="33"/>
    <d v="2024-07-04T00:00:00"/>
    <n v="20"/>
  </r>
  <r>
    <n v="1602"/>
    <n v="699"/>
    <x v="2"/>
    <d v="2024-09-04T00:00:00"/>
    <n v="4"/>
  </r>
  <r>
    <n v="1603"/>
    <n v="545"/>
    <x v="9"/>
    <d v="2024-11-02T00:00:00"/>
    <n v="10"/>
  </r>
  <r>
    <n v="1604"/>
    <n v="639"/>
    <x v="33"/>
    <d v="2024-08-23T00:00:00"/>
    <n v="3"/>
  </r>
  <r>
    <n v="1605"/>
    <n v="535"/>
    <x v="0"/>
    <d v="2024-07-17T00:00:00"/>
    <n v="11"/>
  </r>
  <r>
    <n v="1606"/>
    <n v="677"/>
    <x v="27"/>
    <d v="2024-01-04T00:00:00"/>
    <n v="20"/>
  </r>
  <r>
    <n v="1607"/>
    <n v="732"/>
    <x v="18"/>
    <d v="2024-04-28T00:00:00"/>
    <n v="11"/>
  </r>
  <r>
    <n v="1608"/>
    <n v="524"/>
    <x v="3"/>
    <d v="2024-03-20T00:00:00"/>
    <n v="12"/>
  </r>
  <r>
    <n v="1609"/>
    <n v="653"/>
    <x v="3"/>
    <d v="2024-06-27T00:00:00"/>
    <n v="8"/>
  </r>
  <r>
    <n v="1610"/>
    <n v="747"/>
    <x v="23"/>
    <d v="2024-12-19T00:00:00"/>
    <n v="16"/>
  </r>
  <r>
    <n v="1611"/>
    <n v="571"/>
    <x v="13"/>
    <d v="2024-12-07T00:00:00"/>
    <n v="16"/>
  </r>
  <r>
    <n v="1612"/>
    <n v="663"/>
    <x v="28"/>
    <d v="2024-07-09T00:00:00"/>
    <n v="19"/>
  </r>
  <r>
    <n v="1613"/>
    <n v="729"/>
    <x v="0"/>
    <d v="2024-01-09T00:00:00"/>
    <n v="11"/>
  </r>
  <r>
    <n v="1614"/>
    <n v="701"/>
    <x v="14"/>
    <d v="2024-08-19T00:00:00"/>
    <n v="3"/>
  </r>
  <r>
    <n v="1615"/>
    <n v="530"/>
    <x v="19"/>
    <d v="2024-03-07T00:00:00"/>
    <n v="1"/>
  </r>
  <r>
    <n v="1616"/>
    <n v="600"/>
    <x v="1"/>
    <d v="2024-11-01T00:00:00"/>
    <n v="14"/>
  </r>
  <r>
    <n v="1617"/>
    <n v="662"/>
    <x v="28"/>
    <d v="2024-05-24T00:00:00"/>
    <n v="17"/>
  </r>
  <r>
    <n v="1618"/>
    <n v="623"/>
    <x v="7"/>
    <d v="2024-10-01T00:00:00"/>
    <n v="8"/>
  </r>
  <r>
    <n v="1619"/>
    <n v="637"/>
    <x v="9"/>
    <d v="2024-10-09T00:00:00"/>
    <n v="16"/>
  </r>
  <r>
    <n v="1620"/>
    <n v="714"/>
    <x v="32"/>
    <d v="2024-03-11T00:00:00"/>
    <n v="8"/>
  </r>
  <r>
    <n v="1621"/>
    <n v="747"/>
    <x v="5"/>
    <d v="2024-05-02T00:00:00"/>
    <n v="11"/>
  </r>
  <r>
    <n v="1622"/>
    <n v="544"/>
    <x v="14"/>
    <d v="2024-05-11T00:00:00"/>
    <n v="18"/>
  </r>
  <r>
    <n v="1623"/>
    <n v="558"/>
    <x v="31"/>
    <d v="2024-07-14T00:00:00"/>
    <n v="17"/>
  </r>
  <r>
    <n v="1624"/>
    <n v="721"/>
    <x v="27"/>
    <d v="2024-11-07T00:00:00"/>
    <n v="16"/>
  </r>
  <r>
    <n v="1625"/>
    <n v="603"/>
    <x v="20"/>
    <d v="2024-04-09T00:00:00"/>
    <n v="8"/>
  </r>
  <r>
    <n v="1626"/>
    <n v="617"/>
    <x v="33"/>
    <d v="2024-02-28T00:00:00"/>
    <n v="10"/>
  </r>
  <r>
    <n v="1627"/>
    <n v="667"/>
    <x v="0"/>
    <d v="2024-11-08T00:00:00"/>
    <n v="8"/>
  </r>
  <r>
    <n v="1628"/>
    <n v="503"/>
    <x v="11"/>
    <d v="2024-03-12T00:00:00"/>
    <n v="17"/>
  </r>
  <r>
    <n v="1629"/>
    <n v="574"/>
    <x v="29"/>
    <d v="2024-08-07T00:00:00"/>
    <n v="4"/>
  </r>
  <r>
    <n v="1630"/>
    <n v="604"/>
    <x v="1"/>
    <d v="2024-02-27T00:00:00"/>
    <n v="13"/>
  </r>
  <r>
    <n v="1631"/>
    <n v="748"/>
    <x v="2"/>
    <d v="2024-05-30T00:00:00"/>
    <n v="12"/>
  </r>
  <r>
    <n v="1632"/>
    <n v="696"/>
    <x v="28"/>
    <d v="2024-12-10T00:00:00"/>
    <n v="16"/>
  </r>
  <r>
    <n v="1633"/>
    <n v="599"/>
    <x v="29"/>
    <d v="2024-07-20T00:00:00"/>
    <n v="7"/>
  </r>
  <r>
    <n v="1634"/>
    <n v="683"/>
    <x v="10"/>
    <d v="2024-10-21T00:00:00"/>
    <n v="17"/>
  </r>
  <r>
    <n v="1635"/>
    <n v="685"/>
    <x v="12"/>
    <d v="2024-04-13T00:00:00"/>
    <n v="5"/>
  </r>
  <r>
    <n v="1636"/>
    <n v="721"/>
    <x v="11"/>
    <d v="2024-12-09T00:00:00"/>
    <n v="13"/>
  </r>
  <r>
    <n v="1637"/>
    <n v="587"/>
    <x v="0"/>
    <d v="2024-05-02T00:00:00"/>
    <n v="12"/>
  </r>
  <r>
    <n v="1638"/>
    <n v="671"/>
    <x v="12"/>
    <d v="2024-05-14T00:00:00"/>
    <n v="11"/>
  </r>
  <r>
    <n v="1639"/>
    <n v="664"/>
    <x v="22"/>
    <d v="2024-01-15T00:00:00"/>
    <n v="19"/>
  </r>
  <r>
    <n v="1640"/>
    <n v="524"/>
    <x v="13"/>
    <d v="2024-10-31T00:00:00"/>
    <n v="5"/>
  </r>
  <r>
    <n v="1641"/>
    <n v="680"/>
    <x v="16"/>
    <d v="2024-07-30T00:00:00"/>
    <n v="5"/>
  </r>
  <r>
    <n v="1642"/>
    <n v="749"/>
    <x v="7"/>
    <d v="2024-09-30T00:00:00"/>
    <n v="3"/>
  </r>
  <r>
    <n v="1643"/>
    <n v="502"/>
    <x v="4"/>
    <d v="2024-01-16T00:00:00"/>
    <n v="6"/>
  </r>
  <r>
    <n v="1644"/>
    <n v="501"/>
    <x v="28"/>
    <d v="2024-02-22T00:00:00"/>
    <n v="19"/>
  </r>
  <r>
    <n v="1645"/>
    <n v="717"/>
    <x v="4"/>
    <d v="2024-01-13T00:00:00"/>
    <n v="14"/>
  </r>
  <r>
    <n v="1646"/>
    <n v="572"/>
    <x v="7"/>
    <d v="2024-12-31T00:00:00"/>
    <n v="10"/>
  </r>
  <r>
    <n v="1647"/>
    <n v="656"/>
    <x v="5"/>
    <d v="2024-08-01T00:00:00"/>
    <n v="1"/>
  </r>
  <r>
    <n v="1648"/>
    <n v="732"/>
    <x v="20"/>
    <d v="2024-12-22T00:00:00"/>
    <n v="5"/>
  </r>
  <r>
    <n v="1649"/>
    <n v="699"/>
    <x v="32"/>
    <d v="2024-03-22T00:00:00"/>
    <n v="13"/>
  </r>
  <r>
    <n v="1650"/>
    <n v="581"/>
    <x v="11"/>
    <d v="2024-03-25T00:00:00"/>
    <n v="17"/>
  </r>
  <r>
    <n v="1651"/>
    <n v="520"/>
    <x v="23"/>
    <d v="2024-07-26T00:00:00"/>
    <n v="19"/>
  </r>
  <r>
    <n v="1652"/>
    <n v="586"/>
    <x v="24"/>
    <d v="2024-11-28T00:00:00"/>
    <n v="4"/>
  </r>
  <r>
    <n v="1653"/>
    <n v="558"/>
    <x v="20"/>
    <d v="2024-06-25T00:00:00"/>
    <n v="20"/>
  </r>
  <r>
    <n v="1654"/>
    <n v="501"/>
    <x v="11"/>
    <d v="2024-03-04T00:00:00"/>
    <n v="18"/>
  </r>
  <r>
    <n v="1655"/>
    <n v="541"/>
    <x v="28"/>
    <d v="2024-03-24T00:00:00"/>
    <n v="12"/>
  </r>
  <r>
    <n v="1656"/>
    <n v="593"/>
    <x v="14"/>
    <d v="2024-04-13T00:00:00"/>
    <n v="5"/>
  </r>
  <r>
    <n v="1657"/>
    <n v="521"/>
    <x v="5"/>
    <d v="2024-06-22T00:00:00"/>
    <n v="8"/>
  </r>
  <r>
    <n v="1658"/>
    <n v="631"/>
    <x v="32"/>
    <d v="2024-01-23T00:00:00"/>
    <n v="19"/>
  </r>
  <r>
    <n v="1659"/>
    <n v="505"/>
    <x v="2"/>
    <d v="2024-05-04T00:00:00"/>
    <n v="10"/>
  </r>
  <r>
    <n v="1660"/>
    <n v="610"/>
    <x v="21"/>
    <d v="2024-08-02T00:00:00"/>
    <n v="1"/>
  </r>
  <r>
    <n v="1661"/>
    <n v="614"/>
    <x v="10"/>
    <d v="2024-02-07T00:00:00"/>
    <n v="4"/>
  </r>
  <r>
    <n v="1662"/>
    <n v="680"/>
    <x v="11"/>
    <d v="2024-11-02T00:00:00"/>
    <n v="5"/>
  </r>
  <r>
    <n v="1663"/>
    <n v="700"/>
    <x v="11"/>
    <d v="2024-11-02T00:00:00"/>
    <n v="13"/>
  </r>
  <r>
    <n v="1664"/>
    <n v="596"/>
    <x v="5"/>
    <d v="2024-05-16T00:00:00"/>
    <n v="19"/>
  </r>
  <r>
    <n v="1665"/>
    <n v="648"/>
    <x v="11"/>
    <d v="2024-09-01T00:00:00"/>
    <n v="18"/>
  </r>
  <r>
    <n v="1666"/>
    <n v="518"/>
    <x v="12"/>
    <d v="2024-06-15T00:00:00"/>
    <n v="17"/>
  </r>
  <r>
    <n v="1667"/>
    <n v="627"/>
    <x v="28"/>
    <d v="2024-12-25T00:00:00"/>
    <n v="8"/>
  </r>
  <r>
    <n v="1668"/>
    <n v="606"/>
    <x v="32"/>
    <d v="2024-07-09T00:00:00"/>
    <n v="7"/>
  </r>
  <r>
    <n v="1669"/>
    <n v="723"/>
    <x v="4"/>
    <d v="2024-08-21T00:00:00"/>
    <n v="14"/>
  </r>
  <r>
    <n v="1670"/>
    <n v="643"/>
    <x v="32"/>
    <d v="2024-01-25T00:00:00"/>
    <n v="10"/>
  </r>
  <r>
    <n v="1671"/>
    <n v="660"/>
    <x v="4"/>
    <d v="2024-04-17T00:00:00"/>
    <n v="1"/>
  </r>
  <r>
    <n v="1672"/>
    <n v="682"/>
    <x v="17"/>
    <d v="2024-04-12T00:00:00"/>
    <n v="10"/>
  </r>
  <r>
    <n v="1673"/>
    <n v="732"/>
    <x v="27"/>
    <d v="2024-01-19T00:00:00"/>
    <n v="12"/>
  </r>
  <r>
    <n v="1674"/>
    <n v="746"/>
    <x v="15"/>
    <d v="2024-10-13T00:00:00"/>
    <n v="20"/>
  </r>
  <r>
    <n v="1675"/>
    <n v="672"/>
    <x v="24"/>
    <d v="2024-03-07T00:00:00"/>
    <n v="7"/>
  </r>
  <r>
    <n v="1676"/>
    <n v="530"/>
    <x v="9"/>
    <d v="2024-01-09T00:00:00"/>
    <n v="20"/>
  </r>
  <r>
    <n v="1677"/>
    <n v="634"/>
    <x v="15"/>
    <d v="2024-11-14T00:00:00"/>
    <n v="12"/>
  </r>
  <r>
    <n v="1678"/>
    <n v="598"/>
    <x v="20"/>
    <d v="2024-12-20T00:00:00"/>
    <n v="19"/>
  </r>
  <r>
    <n v="1679"/>
    <n v="613"/>
    <x v="11"/>
    <d v="2024-03-10T00:00:00"/>
    <n v="9"/>
  </r>
  <r>
    <n v="1680"/>
    <n v="649"/>
    <x v="3"/>
    <d v="2024-09-28T00:00:00"/>
    <n v="18"/>
  </r>
  <r>
    <n v="1681"/>
    <n v="737"/>
    <x v="27"/>
    <d v="2024-07-04T00:00:00"/>
    <n v="10"/>
  </r>
  <r>
    <n v="1682"/>
    <n v="517"/>
    <x v="16"/>
    <d v="2024-07-08T00:00:00"/>
    <n v="7"/>
  </r>
  <r>
    <n v="1683"/>
    <n v="663"/>
    <x v="16"/>
    <d v="2024-06-25T00:00:00"/>
    <n v="17"/>
  </r>
  <r>
    <n v="1684"/>
    <n v="601"/>
    <x v="4"/>
    <d v="2024-11-29T00:00:00"/>
    <n v="11"/>
  </r>
  <r>
    <n v="1685"/>
    <n v="717"/>
    <x v="20"/>
    <d v="2024-03-26T00:00:00"/>
    <n v="11"/>
  </r>
  <r>
    <n v="1686"/>
    <n v="527"/>
    <x v="11"/>
    <d v="2024-03-23T00:00:00"/>
    <n v="19"/>
  </r>
  <r>
    <n v="1687"/>
    <n v="536"/>
    <x v="25"/>
    <d v="2024-05-15T00:00:00"/>
    <n v="17"/>
  </r>
  <r>
    <n v="1688"/>
    <n v="658"/>
    <x v="30"/>
    <d v="2024-05-24T00:00:00"/>
    <n v="20"/>
  </r>
  <r>
    <n v="1689"/>
    <n v="506"/>
    <x v="7"/>
    <d v="2024-12-01T00:00:00"/>
    <n v="5"/>
  </r>
  <r>
    <n v="1690"/>
    <n v="519"/>
    <x v="1"/>
    <d v="2024-03-21T00:00:00"/>
    <n v="5"/>
  </r>
  <r>
    <n v="1691"/>
    <n v="567"/>
    <x v="1"/>
    <d v="2024-12-20T00:00:00"/>
    <n v="10"/>
  </r>
  <r>
    <n v="1692"/>
    <n v="640"/>
    <x v="12"/>
    <d v="2024-02-05T00:00:00"/>
    <n v="11"/>
  </r>
  <r>
    <n v="1693"/>
    <n v="689"/>
    <x v="33"/>
    <d v="2024-07-22T00:00:00"/>
    <n v="7"/>
  </r>
  <r>
    <n v="1694"/>
    <n v="699"/>
    <x v="14"/>
    <d v="2024-12-01T00:00:00"/>
    <n v="7"/>
  </r>
  <r>
    <n v="1695"/>
    <n v="512"/>
    <x v="19"/>
    <d v="2024-10-27T00:00:00"/>
    <n v="8"/>
  </r>
  <r>
    <n v="1696"/>
    <n v="723"/>
    <x v="28"/>
    <d v="2024-07-06T00:00:00"/>
    <n v="8"/>
  </r>
  <r>
    <n v="1697"/>
    <n v="612"/>
    <x v="16"/>
    <d v="2024-02-04T00:00:00"/>
    <n v="6"/>
  </r>
  <r>
    <n v="1698"/>
    <n v="527"/>
    <x v="33"/>
    <d v="2024-12-01T00:00:00"/>
    <n v="19"/>
  </r>
  <r>
    <n v="1699"/>
    <n v="644"/>
    <x v="2"/>
    <d v="2024-09-15T00:00:00"/>
    <n v="10"/>
  </r>
  <r>
    <n v="1700"/>
    <n v="748"/>
    <x v="14"/>
    <d v="2024-08-28T00:00:00"/>
    <n v="20"/>
  </r>
  <r>
    <n v="1701"/>
    <n v="524"/>
    <x v="7"/>
    <d v="2024-05-04T00:00:00"/>
    <n v="13"/>
  </r>
  <r>
    <n v="1702"/>
    <n v="699"/>
    <x v="33"/>
    <d v="2024-04-18T00:00:00"/>
    <n v="12"/>
  </r>
  <r>
    <n v="1703"/>
    <n v="739"/>
    <x v="18"/>
    <d v="2024-02-25T00:00:00"/>
    <n v="18"/>
  </r>
  <r>
    <n v="1704"/>
    <n v="612"/>
    <x v="9"/>
    <d v="2024-10-16T00:00:00"/>
    <n v="11"/>
  </r>
  <r>
    <n v="1705"/>
    <n v="632"/>
    <x v="28"/>
    <d v="2024-01-06T00:00:00"/>
    <n v="1"/>
  </r>
  <r>
    <n v="1706"/>
    <n v="535"/>
    <x v="8"/>
    <d v="2024-08-13T00:00:00"/>
    <n v="15"/>
  </r>
  <r>
    <n v="1707"/>
    <n v="532"/>
    <x v="30"/>
    <d v="2024-10-14T00:00:00"/>
    <n v="2"/>
  </r>
  <r>
    <n v="1708"/>
    <n v="518"/>
    <x v="31"/>
    <d v="2024-01-17T00:00:00"/>
    <n v="10"/>
  </r>
  <r>
    <n v="1709"/>
    <n v="575"/>
    <x v="21"/>
    <d v="2024-11-24T00:00:00"/>
    <n v="12"/>
  </r>
  <r>
    <n v="1710"/>
    <n v="566"/>
    <x v="3"/>
    <d v="2024-08-04T00:00:00"/>
    <n v="1"/>
  </r>
  <r>
    <n v="1711"/>
    <n v="673"/>
    <x v="9"/>
    <d v="2024-07-30T00:00:00"/>
    <n v="14"/>
  </r>
  <r>
    <n v="1712"/>
    <n v="539"/>
    <x v="10"/>
    <d v="2024-08-29T00:00:00"/>
    <n v="19"/>
  </r>
  <r>
    <n v="1713"/>
    <n v="562"/>
    <x v="23"/>
    <d v="2024-06-15T00:00:00"/>
    <n v="4"/>
  </r>
  <r>
    <n v="1714"/>
    <n v="654"/>
    <x v="9"/>
    <d v="2024-08-14T00:00:00"/>
    <n v="13"/>
  </r>
  <r>
    <n v="1715"/>
    <n v="527"/>
    <x v="19"/>
    <d v="2024-07-04T00:00:00"/>
    <n v="14"/>
  </r>
  <r>
    <n v="1716"/>
    <n v="740"/>
    <x v="0"/>
    <d v="2024-05-03T00:00:00"/>
    <n v="5"/>
  </r>
  <r>
    <n v="1717"/>
    <n v="515"/>
    <x v="11"/>
    <d v="2024-05-22T00:00:00"/>
    <n v="11"/>
  </r>
  <r>
    <n v="1718"/>
    <n v="615"/>
    <x v="23"/>
    <d v="2024-11-05T00:00:00"/>
    <n v="1"/>
  </r>
  <r>
    <n v="1719"/>
    <n v="710"/>
    <x v="16"/>
    <d v="2024-08-11T00:00:00"/>
    <n v="13"/>
  </r>
  <r>
    <n v="1720"/>
    <n v="647"/>
    <x v="1"/>
    <d v="2024-03-19T00:00:00"/>
    <n v="4"/>
  </r>
  <r>
    <n v="1721"/>
    <n v="648"/>
    <x v="5"/>
    <d v="2024-11-05T00:00:00"/>
    <n v="20"/>
  </r>
  <r>
    <n v="1722"/>
    <n v="625"/>
    <x v="8"/>
    <d v="2024-05-26T00:00:00"/>
    <n v="9"/>
  </r>
  <r>
    <n v="1723"/>
    <n v="715"/>
    <x v="8"/>
    <d v="2024-09-24T00:00:00"/>
    <n v="9"/>
  </r>
  <r>
    <n v="1724"/>
    <n v="522"/>
    <x v="15"/>
    <d v="2024-05-27T00:00:00"/>
    <n v="12"/>
  </r>
  <r>
    <n v="1725"/>
    <n v="714"/>
    <x v="14"/>
    <d v="2024-07-13T00:00:00"/>
    <n v="14"/>
  </r>
  <r>
    <n v="1726"/>
    <n v="720"/>
    <x v="24"/>
    <d v="2024-01-22T00:00:00"/>
    <n v="17"/>
  </r>
  <r>
    <n v="1727"/>
    <n v="582"/>
    <x v="6"/>
    <d v="2024-01-23T00:00:00"/>
    <n v="12"/>
  </r>
  <r>
    <n v="1728"/>
    <n v="663"/>
    <x v="14"/>
    <d v="2024-02-02T00:00:00"/>
    <n v="9"/>
  </r>
  <r>
    <n v="1729"/>
    <n v="621"/>
    <x v="25"/>
    <d v="2024-04-09T00:00:00"/>
    <n v="20"/>
  </r>
  <r>
    <n v="1730"/>
    <n v="508"/>
    <x v="7"/>
    <d v="2024-02-12T00:00:00"/>
    <n v="7"/>
  </r>
  <r>
    <n v="1731"/>
    <n v="526"/>
    <x v="16"/>
    <d v="2024-04-09T00:00:00"/>
    <n v="5"/>
  </r>
  <r>
    <n v="1732"/>
    <n v="563"/>
    <x v="10"/>
    <d v="2024-03-04T00:00:00"/>
    <n v="19"/>
  </r>
  <r>
    <n v="1733"/>
    <n v="681"/>
    <x v="17"/>
    <d v="2024-07-02T00:00:00"/>
    <n v="7"/>
  </r>
  <r>
    <n v="1734"/>
    <n v="543"/>
    <x v="7"/>
    <d v="2024-04-17T00:00:00"/>
    <n v="5"/>
  </r>
  <r>
    <n v="1735"/>
    <n v="575"/>
    <x v="21"/>
    <d v="2024-09-16T00:00:00"/>
    <n v="10"/>
  </r>
  <r>
    <n v="1736"/>
    <n v="559"/>
    <x v="7"/>
    <d v="2024-10-09T00:00:00"/>
    <n v="15"/>
  </r>
  <r>
    <n v="1737"/>
    <n v="689"/>
    <x v="14"/>
    <d v="2024-02-26T00:00:00"/>
    <n v="1"/>
  </r>
  <r>
    <n v="1738"/>
    <n v="594"/>
    <x v="2"/>
    <d v="2024-04-30T00:00:00"/>
    <n v="1"/>
  </r>
  <r>
    <n v="1739"/>
    <n v="532"/>
    <x v="6"/>
    <d v="2024-05-28T00:00:00"/>
    <n v="17"/>
  </r>
  <r>
    <n v="1740"/>
    <n v="533"/>
    <x v="33"/>
    <d v="2024-06-07T00:00:00"/>
    <n v="14"/>
  </r>
  <r>
    <n v="1741"/>
    <n v="594"/>
    <x v="21"/>
    <d v="2024-05-15T00:00:00"/>
    <n v="19"/>
  </r>
  <r>
    <n v="1742"/>
    <n v="690"/>
    <x v="24"/>
    <d v="2024-09-27T00:00:00"/>
    <n v="1"/>
  </r>
  <r>
    <n v="1743"/>
    <n v="541"/>
    <x v="20"/>
    <d v="2024-11-12T00:00:00"/>
    <n v="10"/>
  </r>
  <r>
    <n v="1744"/>
    <n v="504"/>
    <x v="20"/>
    <d v="2024-12-06T00:00:00"/>
    <n v="16"/>
  </r>
  <r>
    <n v="1745"/>
    <n v="638"/>
    <x v="1"/>
    <d v="2024-02-22T00:00:00"/>
    <n v="4"/>
  </r>
  <r>
    <n v="1746"/>
    <n v="687"/>
    <x v="7"/>
    <d v="2024-03-29T00:00:00"/>
    <n v="12"/>
  </r>
  <r>
    <n v="1747"/>
    <n v="514"/>
    <x v="27"/>
    <d v="2024-06-06T00:00:00"/>
    <n v="5"/>
  </r>
  <r>
    <n v="1748"/>
    <n v="536"/>
    <x v="6"/>
    <d v="2024-07-01T00:00:00"/>
    <n v="18"/>
  </r>
  <r>
    <n v="1749"/>
    <n v="616"/>
    <x v="6"/>
    <d v="2024-02-19T00:00:00"/>
    <n v="18"/>
  </r>
  <r>
    <n v="1750"/>
    <n v="529"/>
    <x v="31"/>
    <d v="2024-11-19T00:00:00"/>
    <n v="12"/>
  </r>
  <r>
    <n v="1751"/>
    <n v="632"/>
    <x v="32"/>
    <d v="2024-07-09T00:00:00"/>
    <n v="2"/>
  </r>
  <r>
    <n v="1752"/>
    <n v="521"/>
    <x v="26"/>
    <d v="2024-12-20T00:00:00"/>
    <n v="17"/>
  </r>
  <r>
    <n v="1753"/>
    <n v="619"/>
    <x v="20"/>
    <d v="2024-06-11T00:00:00"/>
    <n v="13"/>
  </r>
  <r>
    <n v="1754"/>
    <n v="588"/>
    <x v="1"/>
    <d v="2024-04-11T00:00:00"/>
    <n v="10"/>
  </r>
  <r>
    <n v="1755"/>
    <n v="743"/>
    <x v="21"/>
    <d v="2024-04-21T00:00:00"/>
    <n v="7"/>
  </r>
  <r>
    <n v="1756"/>
    <n v="668"/>
    <x v="23"/>
    <d v="2024-01-29T00:00:00"/>
    <n v="11"/>
  </r>
  <r>
    <n v="1757"/>
    <n v="740"/>
    <x v="8"/>
    <d v="2024-08-17T00:00:00"/>
    <n v="1"/>
  </r>
  <r>
    <n v="1758"/>
    <n v="629"/>
    <x v="27"/>
    <d v="2024-05-14T00:00:00"/>
    <n v="11"/>
  </r>
  <r>
    <n v="1759"/>
    <n v="564"/>
    <x v="27"/>
    <d v="2024-12-13T00:00:00"/>
    <n v="15"/>
  </r>
  <r>
    <n v="1760"/>
    <n v="674"/>
    <x v="27"/>
    <d v="2024-08-19T00:00:00"/>
    <n v="16"/>
  </r>
  <r>
    <n v="1761"/>
    <n v="727"/>
    <x v="18"/>
    <d v="2024-08-08T00:00:00"/>
    <n v="8"/>
  </r>
  <r>
    <n v="1762"/>
    <n v="560"/>
    <x v="21"/>
    <d v="2024-05-11T00:00:00"/>
    <n v="19"/>
  </r>
  <r>
    <n v="1763"/>
    <n v="560"/>
    <x v="31"/>
    <d v="2024-05-03T00:00:00"/>
    <n v="6"/>
  </r>
  <r>
    <n v="1764"/>
    <n v="620"/>
    <x v="33"/>
    <d v="2024-11-16T00:00:00"/>
    <n v="7"/>
  </r>
  <r>
    <n v="1765"/>
    <n v="507"/>
    <x v="19"/>
    <d v="2024-09-21T00:00:00"/>
    <n v="16"/>
  </r>
  <r>
    <n v="1766"/>
    <n v="658"/>
    <x v="3"/>
    <d v="2024-05-04T00:00:00"/>
    <n v="9"/>
  </r>
  <r>
    <n v="1767"/>
    <n v="636"/>
    <x v="4"/>
    <d v="2024-12-27T00:00:00"/>
    <n v="8"/>
  </r>
  <r>
    <n v="1768"/>
    <n v="740"/>
    <x v="19"/>
    <d v="2024-08-05T00:00:00"/>
    <n v="14"/>
  </r>
  <r>
    <n v="1769"/>
    <n v="550"/>
    <x v="20"/>
    <d v="2024-07-13T00:00:00"/>
    <n v="13"/>
  </r>
  <r>
    <n v="1770"/>
    <n v="628"/>
    <x v="24"/>
    <d v="2024-04-25T00:00:00"/>
    <n v="13"/>
  </r>
  <r>
    <n v="1771"/>
    <n v="606"/>
    <x v="29"/>
    <d v="2024-07-08T00:00:00"/>
    <n v="18"/>
  </r>
  <r>
    <n v="1772"/>
    <n v="740"/>
    <x v="23"/>
    <d v="2024-04-20T00:00:00"/>
    <n v="12"/>
  </r>
  <r>
    <n v="1773"/>
    <n v="689"/>
    <x v="12"/>
    <d v="2024-07-19T00:00:00"/>
    <n v="15"/>
  </r>
  <r>
    <n v="1774"/>
    <n v="669"/>
    <x v="32"/>
    <d v="2024-06-18T00:00:00"/>
    <n v="7"/>
  </r>
  <r>
    <n v="1775"/>
    <n v="709"/>
    <x v="29"/>
    <d v="2024-12-17T00:00:00"/>
    <n v="10"/>
  </r>
  <r>
    <n v="1776"/>
    <n v="664"/>
    <x v="27"/>
    <d v="2024-08-19T00:00:00"/>
    <n v="15"/>
  </r>
  <r>
    <n v="1777"/>
    <n v="518"/>
    <x v="31"/>
    <d v="2024-08-05T00:00:00"/>
    <n v="17"/>
  </r>
  <r>
    <n v="1778"/>
    <n v="683"/>
    <x v="21"/>
    <d v="2024-10-04T00:00:00"/>
    <n v="6"/>
  </r>
  <r>
    <n v="1779"/>
    <n v="527"/>
    <x v="22"/>
    <d v="2024-10-17T00:00:00"/>
    <n v="13"/>
  </r>
  <r>
    <n v="1780"/>
    <n v="533"/>
    <x v="7"/>
    <d v="2024-05-01T00:00:00"/>
    <n v="4"/>
  </r>
  <r>
    <n v="1781"/>
    <n v="750"/>
    <x v="7"/>
    <d v="2024-03-26T00:00:00"/>
    <n v="18"/>
  </r>
  <r>
    <n v="1782"/>
    <n v="689"/>
    <x v="15"/>
    <d v="2024-01-08T00:00:00"/>
    <n v="6"/>
  </r>
  <r>
    <n v="1783"/>
    <n v="711"/>
    <x v="0"/>
    <d v="2024-06-30T00:00:00"/>
    <n v="15"/>
  </r>
  <r>
    <n v="1784"/>
    <n v="645"/>
    <x v="29"/>
    <d v="2024-01-07T00:00:00"/>
    <n v="8"/>
  </r>
  <r>
    <n v="1785"/>
    <n v="663"/>
    <x v="27"/>
    <d v="2024-02-26T00:00:00"/>
    <n v="2"/>
  </r>
  <r>
    <n v="1786"/>
    <n v="696"/>
    <x v="8"/>
    <d v="2024-11-06T00:00:00"/>
    <n v="12"/>
  </r>
  <r>
    <n v="1787"/>
    <n v="587"/>
    <x v="33"/>
    <d v="2024-11-25T00:00:00"/>
    <n v="9"/>
  </r>
  <r>
    <n v="1788"/>
    <n v="727"/>
    <x v="5"/>
    <d v="2024-04-17T00:00:00"/>
    <n v="11"/>
  </r>
  <r>
    <n v="1789"/>
    <n v="590"/>
    <x v="11"/>
    <d v="2024-08-18T00:00:00"/>
    <n v="5"/>
  </r>
  <r>
    <n v="1790"/>
    <n v="581"/>
    <x v="4"/>
    <d v="2024-05-30T00:00:00"/>
    <n v="9"/>
  </r>
  <r>
    <n v="1791"/>
    <n v="588"/>
    <x v="10"/>
    <d v="2024-03-04T00:00:00"/>
    <n v="7"/>
  </r>
  <r>
    <n v="1792"/>
    <n v="645"/>
    <x v="15"/>
    <d v="2024-02-11T00:00:00"/>
    <n v="3"/>
  </r>
  <r>
    <n v="1793"/>
    <n v="538"/>
    <x v="17"/>
    <d v="2024-04-30T00:00:00"/>
    <n v="15"/>
  </r>
  <r>
    <n v="1794"/>
    <n v="708"/>
    <x v="8"/>
    <d v="2024-03-18T00:00:00"/>
    <n v="19"/>
  </r>
  <r>
    <n v="1795"/>
    <n v="595"/>
    <x v="23"/>
    <d v="2024-09-09T00:00:00"/>
    <n v="17"/>
  </r>
  <r>
    <n v="1796"/>
    <n v="593"/>
    <x v="9"/>
    <d v="2024-05-06T00:00:00"/>
    <n v="19"/>
  </r>
  <r>
    <n v="1797"/>
    <n v="667"/>
    <x v="8"/>
    <d v="2024-12-09T00:00:00"/>
    <n v="16"/>
  </r>
  <r>
    <n v="1798"/>
    <n v="550"/>
    <x v="6"/>
    <d v="2024-03-02T00:00:00"/>
    <n v="13"/>
  </r>
  <r>
    <n v="1799"/>
    <n v="542"/>
    <x v="9"/>
    <d v="2024-07-24T00:00:00"/>
    <n v="11"/>
  </r>
  <r>
    <n v="1800"/>
    <n v="543"/>
    <x v="9"/>
    <d v="2024-12-09T00:00:00"/>
    <n v="2"/>
  </r>
  <r>
    <n v="1801"/>
    <n v="638"/>
    <x v="10"/>
    <d v="2024-04-12T00:00:00"/>
    <n v="1"/>
  </r>
  <r>
    <n v="1802"/>
    <n v="599"/>
    <x v="18"/>
    <d v="2024-07-14T00:00:00"/>
    <n v="5"/>
  </r>
  <r>
    <n v="1803"/>
    <n v="603"/>
    <x v="27"/>
    <d v="2024-05-12T00:00:00"/>
    <n v="2"/>
  </r>
  <r>
    <n v="1804"/>
    <n v="685"/>
    <x v="20"/>
    <d v="2024-06-17T00:00:00"/>
    <n v="15"/>
  </r>
  <r>
    <n v="1805"/>
    <n v="513"/>
    <x v="30"/>
    <d v="2024-05-06T00:00:00"/>
    <n v="20"/>
  </r>
  <r>
    <n v="1806"/>
    <n v="585"/>
    <x v="11"/>
    <d v="2024-12-13T00:00:00"/>
    <n v="10"/>
  </r>
  <r>
    <n v="1807"/>
    <n v="589"/>
    <x v="3"/>
    <d v="2024-12-19T00:00:00"/>
    <n v="1"/>
  </r>
  <r>
    <n v="1808"/>
    <n v="733"/>
    <x v="5"/>
    <d v="2024-02-21T00:00:00"/>
    <n v="7"/>
  </r>
  <r>
    <n v="1809"/>
    <n v="748"/>
    <x v="24"/>
    <d v="2024-11-29T00:00:00"/>
    <n v="19"/>
  </r>
  <r>
    <n v="1810"/>
    <n v="582"/>
    <x v="13"/>
    <d v="2024-10-03T00:00:00"/>
    <n v="20"/>
  </r>
  <r>
    <n v="1811"/>
    <n v="620"/>
    <x v="33"/>
    <d v="2024-07-13T00:00:00"/>
    <n v="6"/>
  </r>
  <r>
    <n v="1812"/>
    <n v="569"/>
    <x v="29"/>
    <d v="2024-04-10T00:00:00"/>
    <n v="6"/>
  </r>
  <r>
    <n v="1813"/>
    <n v="734"/>
    <x v="26"/>
    <d v="2024-11-03T00:00:00"/>
    <n v="8"/>
  </r>
  <r>
    <n v="1814"/>
    <n v="545"/>
    <x v="4"/>
    <d v="2024-11-12T00:00:00"/>
    <n v="12"/>
  </r>
  <r>
    <n v="1815"/>
    <n v="749"/>
    <x v="5"/>
    <d v="2024-09-09T00:00:00"/>
    <n v="9"/>
  </r>
  <r>
    <n v="1816"/>
    <n v="747"/>
    <x v="22"/>
    <d v="2024-09-17T00:00:00"/>
    <n v="12"/>
  </r>
  <r>
    <n v="1817"/>
    <n v="692"/>
    <x v="32"/>
    <d v="2024-08-29T00:00:00"/>
    <n v="11"/>
  </r>
  <r>
    <n v="1818"/>
    <n v="594"/>
    <x v="18"/>
    <d v="2024-11-05T00:00:00"/>
    <n v="2"/>
  </r>
  <r>
    <n v="1819"/>
    <n v="579"/>
    <x v="23"/>
    <d v="2024-10-11T00:00:00"/>
    <n v="6"/>
  </r>
  <r>
    <n v="1820"/>
    <n v="730"/>
    <x v="25"/>
    <d v="2024-03-26T00:00:00"/>
    <n v="19"/>
  </r>
  <r>
    <n v="1821"/>
    <n v="554"/>
    <x v="12"/>
    <d v="2024-04-13T00:00:00"/>
    <n v="5"/>
  </r>
  <r>
    <n v="1822"/>
    <n v="640"/>
    <x v="27"/>
    <d v="2024-06-08T00:00:00"/>
    <n v="4"/>
  </r>
  <r>
    <n v="1823"/>
    <n v="528"/>
    <x v="20"/>
    <d v="2024-09-11T00:00:00"/>
    <n v="15"/>
  </r>
  <r>
    <n v="1824"/>
    <n v="704"/>
    <x v="9"/>
    <d v="2024-07-07T00:00:00"/>
    <n v="17"/>
  </r>
  <r>
    <n v="1825"/>
    <n v="691"/>
    <x v="6"/>
    <d v="2024-01-03T00:00:00"/>
    <n v="10"/>
  </r>
  <r>
    <n v="1826"/>
    <n v="700"/>
    <x v="29"/>
    <d v="2024-03-19T00:00:00"/>
    <n v="19"/>
  </r>
  <r>
    <n v="1827"/>
    <n v="513"/>
    <x v="30"/>
    <d v="2024-11-20T00:00:00"/>
    <n v="19"/>
  </r>
  <r>
    <n v="1828"/>
    <n v="614"/>
    <x v="0"/>
    <d v="2024-07-27T00:00:00"/>
    <n v="3"/>
  </r>
  <r>
    <n v="1829"/>
    <n v="554"/>
    <x v="14"/>
    <d v="2024-02-03T00:00:00"/>
    <n v="11"/>
  </r>
  <r>
    <n v="1830"/>
    <n v="672"/>
    <x v="28"/>
    <d v="2024-08-12T00:00:00"/>
    <n v="6"/>
  </r>
  <r>
    <n v="1831"/>
    <n v="671"/>
    <x v="10"/>
    <d v="2024-11-30T00:00:00"/>
    <n v="7"/>
  </r>
  <r>
    <n v="1832"/>
    <n v="523"/>
    <x v="9"/>
    <d v="2024-11-04T00:00:00"/>
    <n v="1"/>
  </r>
  <r>
    <n v="1833"/>
    <n v="646"/>
    <x v="10"/>
    <d v="2024-04-20T00:00:00"/>
    <n v="3"/>
  </r>
  <r>
    <n v="1834"/>
    <n v="518"/>
    <x v="17"/>
    <d v="2024-01-31T00:00:00"/>
    <n v="7"/>
  </r>
  <r>
    <n v="1835"/>
    <n v="567"/>
    <x v="18"/>
    <d v="2024-06-10T00:00:00"/>
    <n v="10"/>
  </r>
  <r>
    <n v="1836"/>
    <n v="568"/>
    <x v="20"/>
    <d v="2024-05-26T00:00:00"/>
    <n v="13"/>
  </r>
  <r>
    <n v="1837"/>
    <n v="600"/>
    <x v="33"/>
    <d v="2024-08-13T00:00:00"/>
    <n v="10"/>
  </r>
  <r>
    <n v="1838"/>
    <n v="732"/>
    <x v="11"/>
    <d v="2024-01-17T00:00:00"/>
    <n v="14"/>
  </r>
  <r>
    <n v="1839"/>
    <n v="603"/>
    <x v="4"/>
    <d v="2024-09-24T00:00:00"/>
    <n v="4"/>
  </r>
  <r>
    <n v="1840"/>
    <n v="638"/>
    <x v="25"/>
    <d v="2024-12-03T00:00:00"/>
    <n v="2"/>
  </r>
  <r>
    <n v="1841"/>
    <n v="579"/>
    <x v="24"/>
    <d v="2024-09-04T00:00:00"/>
    <n v="4"/>
  </r>
  <r>
    <n v="1842"/>
    <n v="740"/>
    <x v="10"/>
    <d v="2024-01-31T00:00:00"/>
    <n v="16"/>
  </r>
  <r>
    <n v="1843"/>
    <n v="742"/>
    <x v="27"/>
    <d v="2024-11-22T00:00:00"/>
    <n v="5"/>
  </r>
  <r>
    <n v="1844"/>
    <n v="572"/>
    <x v="12"/>
    <d v="2024-04-27T00:00:00"/>
    <n v="3"/>
  </r>
  <r>
    <n v="1845"/>
    <n v="714"/>
    <x v="19"/>
    <d v="2024-07-28T00:00:00"/>
    <n v="6"/>
  </r>
  <r>
    <n v="1846"/>
    <n v="649"/>
    <x v="12"/>
    <d v="2024-02-06T00:00:00"/>
    <n v="15"/>
  </r>
  <r>
    <n v="1847"/>
    <n v="527"/>
    <x v="3"/>
    <d v="2024-07-04T00:00:00"/>
    <n v="16"/>
  </r>
  <r>
    <n v="1848"/>
    <n v="538"/>
    <x v="23"/>
    <d v="2024-12-01T00:00:00"/>
    <n v="9"/>
  </r>
  <r>
    <n v="1849"/>
    <n v="616"/>
    <x v="6"/>
    <d v="2024-06-19T00:00:00"/>
    <n v="5"/>
  </r>
  <r>
    <n v="1850"/>
    <n v="741"/>
    <x v="8"/>
    <d v="2024-04-18T00:00:00"/>
    <n v="4"/>
  </r>
  <r>
    <n v="1851"/>
    <n v="538"/>
    <x v="25"/>
    <d v="2024-12-19T00:00:00"/>
    <n v="4"/>
  </r>
  <r>
    <n v="1852"/>
    <n v="731"/>
    <x v="25"/>
    <d v="2024-12-19T00:00:00"/>
    <n v="3"/>
  </r>
  <r>
    <n v="1853"/>
    <n v="675"/>
    <x v="17"/>
    <d v="2024-01-30T00:00:00"/>
    <n v="7"/>
  </r>
  <r>
    <n v="1854"/>
    <n v="629"/>
    <x v="17"/>
    <d v="2024-07-05T00:00:00"/>
    <n v="15"/>
  </r>
  <r>
    <n v="1855"/>
    <n v="733"/>
    <x v="27"/>
    <d v="2024-05-15T00:00:00"/>
    <n v="16"/>
  </r>
  <r>
    <n v="1856"/>
    <n v="534"/>
    <x v="29"/>
    <d v="2024-10-01T00:00:00"/>
    <n v="9"/>
  </r>
  <r>
    <n v="1857"/>
    <n v="658"/>
    <x v="5"/>
    <d v="2024-08-20T00:00:00"/>
    <n v="14"/>
  </r>
  <r>
    <n v="1858"/>
    <n v="525"/>
    <x v="20"/>
    <d v="2024-04-14T00:00:00"/>
    <n v="18"/>
  </r>
  <r>
    <n v="1859"/>
    <n v="527"/>
    <x v="14"/>
    <d v="2024-03-26T00:00:00"/>
    <n v="3"/>
  </r>
  <r>
    <n v="1860"/>
    <n v="659"/>
    <x v="22"/>
    <d v="2024-06-06T00:00:00"/>
    <n v="9"/>
  </r>
  <r>
    <n v="1861"/>
    <n v="506"/>
    <x v="22"/>
    <d v="2024-07-05T00:00:00"/>
    <n v="1"/>
  </r>
  <r>
    <n v="1862"/>
    <n v="702"/>
    <x v="28"/>
    <d v="2024-02-25T00:00:00"/>
    <n v="19"/>
  </r>
  <r>
    <n v="1863"/>
    <n v="586"/>
    <x v="10"/>
    <d v="2024-06-27T00:00:00"/>
    <n v="18"/>
  </r>
  <r>
    <n v="1864"/>
    <n v="601"/>
    <x v="16"/>
    <d v="2024-07-27T00:00:00"/>
    <n v="18"/>
  </r>
  <r>
    <n v="1865"/>
    <n v="570"/>
    <x v="9"/>
    <d v="2024-06-09T00:00:00"/>
    <n v="6"/>
  </r>
  <r>
    <n v="1866"/>
    <n v="636"/>
    <x v="14"/>
    <d v="2024-01-07T00:00:00"/>
    <n v="4"/>
  </r>
  <r>
    <n v="1867"/>
    <n v="563"/>
    <x v="1"/>
    <d v="2024-06-02T00:00:00"/>
    <n v="5"/>
  </r>
  <r>
    <n v="1868"/>
    <n v="565"/>
    <x v="7"/>
    <d v="2024-10-09T00:00:00"/>
    <n v="6"/>
  </r>
  <r>
    <n v="1869"/>
    <n v="698"/>
    <x v="9"/>
    <d v="2024-10-08T00:00:00"/>
    <n v="9"/>
  </r>
  <r>
    <n v="1870"/>
    <n v="622"/>
    <x v="14"/>
    <d v="2024-01-20T00:00:00"/>
    <n v="15"/>
  </r>
  <r>
    <n v="1871"/>
    <n v="539"/>
    <x v="16"/>
    <d v="2024-02-03T00:00:00"/>
    <n v="7"/>
  </r>
  <r>
    <n v="1872"/>
    <n v="626"/>
    <x v="11"/>
    <d v="2024-12-17T00:00:00"/>
    <n v="12"/>
  </r>
  <r>
    <n v="1873"/>
    <n v="581"/>
    <x v="16"/>
    <d v="2024-07-06T00:00:00"/>
    <n v="18"/>
  </r>
  <r>
    <n v="1874"/>
    <n v="697"/>
    <x v="31"/>
    <d v="2024-12-24T00:00:00"/>
    <n v="6"/>
  </r>
  <r>
    <n v="1875"/>
    <n v="712"/>
    <x v="16"/>
    <d v="2024-11-22T00:00:00"/>
    <n v="14"/>
  </r>
  <r>
    <n v="1876"/>
    <n v="567"/>
    <x v="30"/>
    <d v="2024-12-30T00:00:00"/>
    <n v="12"/>
  </r>
  <r>
    <n v="1877"/>
    <n v="671"/>
    <x v="1"/>
    <d v="2024-02-02T00:00:00"/>
    <n v="2"/>
  </r>
  <r>
    <n v="1878"/>
    <n v="679"/>
    <x v="33"/>
    <d v="2024-07-18T00:00:00"/>
    <n v="13"/>
  </r>
  <r>
    <n v="1879"/>
    <n v="502"/>
    <x v="21"/>
    <d v="2024-12-23T00:00:00"/>
    <n v="5"/>
  </r>
  <r>
    <n v="1880"/>
    <n v="559"/>
    <x v="21"/>
    <d v="2024-05-17T00:00:00"/>
    <n v="9"/>
  </r>
  <r>
    <n v="1881"/>
    <n v="662"/>
    <x v="5"/>
    <d v="2024-09-04T00:00:00"/>
    <n v="9"/>
  </r>
  <r>
    <n v="1882"/>
    <n v="570"/>
    <x v="32"/>
    <d v="2024-08-12T00:00:00"/>
    <n v="16"/>
  </r>
  <r>
    <n v="1883"/>
    <n v="502"/>
    <x v="9"/>
    <d v="2024-11-20T00:00:00"/>
    <n v="10"/>
  </r>
  <r>
    <n v="1884"/>
    <n v="616"/>
    <x v="6"/>
    <d v="2024-06-29T00:00:00"/>
    <n v="16"/>
  </r>
  <r>
    <n v="1885"/>
    <n v="731"/>
    <x v="20"/>
    <d v="2024-10-27T00:00:00"/>
    <n v="6"/>
  </r>
  <r>
    <n v="1886"/>
    <n v="668"/>
    <x v="32"/>
    <d v="2024-05-09T00:00:00"/>
    <n v="13"/>
  </r>
  <r>
    <n v="1887"/>
    <n v="553"/>
    <x v="3"/>
    <d v="2024-11-01T00:00:00"/>
    <n v="6"/>
  </r>
  <r>
    <n v="1888"/>
    <n v="630"/>
    <x v="21"/>
    <d v="2024-09-13T00:00:00"/>
    <n v="9"/>
  </r>
  <r>
    <n v="1889"/>
    <n v="697"/>
    <x v="6"/>
    <d v="2024-07-04T00:00:00"/>
    <n v="14"/>
  </r>
  <r>
    <n v="1890"/>
    <n v="507"/>
    <x v="14"/>
    <d v="2024-12-14T00:00:00"/>
    <n v="6"/>
  </r>
  <r>
    <n v="1891"/>
    <n v="603"/>
    <x v="10"/>
    <d v="2024-04-20T00:00:00"/>
    <n v="12"/>
  </r>
  <r>
    <n v="1892"/>
    <n v="586"/>
    <x v="10"/>
    <d v="2024-05-12T00:00:00"/>
    <n v="17"/>
  </r>
  <r>
    <n v="1893"/>
    <n v="626"/>
    <x v="15"/>
    <d v="2024-10-19T00:00:00"/>
    <n v="18"/>
  </r>
  <r>
    <n v="1894"/>
    <n v="541"/>
    <x v="18"/>
    <d v="2024-10-28T00:00:00"/>
    <n v="11"/>
  </r>
  <r>
    <n v="1895"/>
    <n v="518"/>
    <x v="27"/>
    <d v="2024-03-27T00:00:00"/>
    <n v="7"/>
  </r>
  <r>
    <n v="1896"/>
    <n v="574"/>
    <x v="26"/>
    <d v="2024-12-16T00:00:00"/>
    <n v="17"/>
  </r>
  <r>
    <n v="1897"/>
    <n v="685"/>
    <x v="21"/>
    <d v="2024-10-17T00:00:00"/>
    <n v="2"/>
  </r>
  <r>
    <n v="1898"/>
    <n v="589"/>
    <x v="11"/>
    <d v="2024-06-30T00:00:00"/>
    <n v="15"/>
  </r>
  <r>
    <n v="1899"/>
    <n v="588"/>
    <x v="4"/>
    <d v="2024-04-19T00:00:00"/>
    <n v="13"/>
  </r>
  <r>
    <n v="1900"/>
    <n v="506"/>
    <x v="31"/>
    <d v="2024-10-08T00:00:00"/>
    <n v="1"/>
  </r>
  <r>
    <n v="1901"/>
    <n v="643"/>
    <x v="33"/>
    <d v="2024-06-03T00:00:00"/>
    <n v="14"/>
  </r>
  <r>
    <n v="1902"/>
    <n v="566"/>
    <x v="33"/>
    <d v="2024-05-29T00:00:00"/>
    <n v="17"/>
  </r>
  <r>
    <n v="1903"/>
    <n v="609"/>
    <x v="16"/>
    <d v="2024-10-16T00:00:00"/>
    <n v="13"/>
  </r>
  <r>
    <n v="1904"/>
    <n v="636"/>
    <x v="32"/>
    <d v="2024-03-30T00:00:00"/>
    <n v="14"/>
  </r>
  <r>
    <n v="1905"/>
    <n v="553"/>
    <x v="0"/>
    <d v="2024-05-27T00:00:00"/>
    <n v="7"/>
  </r>
  <r>
    <n v="1906"/>
    <n v="615"/>
    <x v="10"/>
    <d v="2024-08-02T00:00:00"/>
    <n v="1"/>
  </r>
  <r>
    <n v="1907"/>
    <n v="670"/>
    <x v="10"/>
    <d v="2024-03-01T00:00:00"/>
    <n v="9"/>
  </r>
  <r>
    <n v="1908"/>
    <n v="525"/>
    <x v="22"/>
    <d v="2024-10-13T00:00:00"/>
    <n v="1"/>
  </r>
  <r>
    <n v="1909"/>
    <n v="560"/>
    <x v="19"/>
    <d v="2024-10-09T00:00:00"/>
    <n v="3"/>
  </r>
  <r>
    <n v="1910"/>
    <n v="696"/>
    <x v="0"/>
    <d v="2024-06-07T00:00:00"/>
    <n v="16"/>
  </r>
  <r>
    <n v="1911"/>
    <n v="730"/>
    <x v="12"/>
    <d v="2024-08-21T00:00:00"/>
    <n v="7"/>
  </r>
  <r>
    <n v="1912"/>
    <n v="639"/>
    <x v="16"/>
    <d v="2024-09-23T00:00:00"/>
    <n v="4"/>
  </r>
  <r>
    <n v="1913"/>
    <n v="571"/>
    <x v="29"/>
    <d v="2024-01-08T00:00:00"/>
    <n v="9"/>
  </r>
  <r>
    <n v="1914"/>
    <n v="652"/>
    <x v="19"/>
    <d v="2024-07-04T00:00:00"/>
    <n v="14"/>
  </r>
  <r>
    <n v="1915"/>
    <n v="722"/>
    <x v="32"/>
    <d v="2024-06-03T00:00:00"/>
    <n v="20"/>
  </r>
  <r>
    <n v="1916"/>
    <n v="689"/>
    <x v="10"/>
    <d v="2024-05-05T00:00:00"/>
    <n v="20"/>
  </r>
  <r>
    <n v="1917"/>
    <n v="529"/>
    <x v="32"/>
    <d v="2024-09-20T00:00:00"/>
    <n v="14"/>
  </r>
  <r>
    <n v="1918"/>
    <n v="563"/>
    <x v="10"/>
    <d v="2024-06-28T00:00:00"/>
    <n v="7"/>
  </r>
  <r>
    <n v="1919"/>
    <n v="647"/>
    <x v="4"/>
    <d v="2024-05-09T00:00:00"/>
    <n v="17"/>
  </r>
  <r>
    <n v="1920"/>
    <n v="602"/>
    <x v="15"/>
    <d v="2024-10-08T00:00:00"/>
    <n v="12"/>
  </r>
  <r>
    <n v="1921"/>
    <n v="514"/>
    <x v="17"/>
    <d v="2024-07-29T00:00:00"/>
    <n v="12"/>
  </r>
  <r>
    <n v="1922"/>
    <n v="548"/>
    <x v="20"/>
    <d v="2024-10-16T00:00:00"/>
    <n v="19"/>
  </r>
  <r>
    <n v="1923"/>
    <n v="511"/>
    <x v="11"/>
    <d v="2024-03-30T00:00:00"/>
    <n v="15"/>
  </r>
  <r>
    <n v="1924"/>
    <n v="605"/>
    <x v="10"/>
    <d v="2024-08-10T00:00:00"/>
    <n v="10"/>
  </r>
  <r>
    <n v="1925"/>
    <n v="697"/>
    <x v="18"/>
    <d v="2024-11-20T00:00:00"/>
    <n v="19"/>
  </r>
  <r>
    <n v="1926"/>
    <n v="634"/>
    <x v="22"/>
    <d v="2024-12-06T00:00:00"/>
    <n v="6"/>
  </r>
  <r>
    <n v="1927"/>
    <n v="516"/>
    <x v="15"/>
    <d v="2024-07-28T00:00:00"/>
    <n v="2"/>
  </r>
  <r>
    <n v="1928"/>
    <n v="544"/>
    <x v="12"/>
    <d v="2024-01-20T00:00:00"/>
    <n v="9"/>
  </r>
  <r>
    <n v="1929"/>
    <n v="605"/>
    <x v="16"/>
    <d v="2024-08-31T00:00:00"/>
    <n v="12"/>
  </r>
  <r>
    <n v="1930"/>
    <n v="676"/>
    <x v="8"/>
    <d v="2024-01-19T00:00:00"/>
    <n v="17"/>
  </r>
  <r>
    <n v="1931"/>
    <n v="582"/>
    <x v="20"/>
    <d v="2024-04-29T00:00:00"/>
    <n v="5"/>
  </r>
  <r>
    <n v="1932"/>
    <n v="717"/>
    <x v="22"/>
    <d v="2024-11-11T00:00:00"/>
    <n v="12"/>
  </r>
  <r>
    <n v="1933"/>
    <n v="607"/>
    <x v="5"/>
    <d v="2024-10-23T00:00:00"/>
    <n v="16"/>
  </r>
  <r>
    <n v="1934"/>
    <n v="637"/>
    <x v="29"/>
    <d v="2024-10-15T00:00:00"/>
    <n v="12"/>
  </r>
  <r>
    <n v="1935"/>
    <n v="576"/>
    <x v="30"/>
    <d v="2024-02-04T00:00:00"/>
    <n v="20"/>
  </r>
  <r>
    <n v="1936"/>
    <n v="687"/>
    <x v="3"/>
    <d v="2024-09-10T00:00:00"/>
    <n v="12"/>
  </r>
  <r>
    <n v="1937"/>
    <n v="685"/>
    <x v="29"/>
    <d v="2024-11-23T00:00:00"/>
    <n v="14"/>
  </r>
  <r>
    <n v="1938"/>
    <n v="695"/>
    <x v="25"/>
    <d v="2024-03-14T00:00:00"/>
    <n v="7"/>
  </r>
  <r>
    <n v="1939"/>
    <n v="700"/>
    <x v="27"/>
    <d v="2024-06-12T00:00:00"/>
    <n v="4"/>
  </r>
  <r>
    <n v="1940"/>
    <n v="530"/>
    <x v="1"/>
    <d v="2024-08-15T00:00:00"/>
    <n v="6"/>
  </r>
  <r>
    <n v="1941"/>
    <n v="585"/>
    <x v="15"/>
    <d v="2024-04-11T00:00:00"/>
    <n v="3"/>
  </r>
  <r>
    <n v="1942"/>
    <n v="575"/>
    <x v="33"/>
    <d v="2024-11-27T00:00:00"/>
    <n v="11"/>
  </r>
  <r>
    <n v="1943"/>
    <n v="737"/>
    <x v="7"/>
    <d v="2024-01-22T00:00:00"/>
    <n v="6"/>
  </r>
  <r>
    <n v="1944"/>
    <n v="728"/>
    <x v="27"/>
    <d v="2024-06-30T00:00:00"/>
    <n v="1"/>
  </r>
  <r>
    <n v="1945"/>
    <n v="639"/>
    <x v="14"/>
    <d v="2024-02-19T00:00:00"/>
    <n v="11"/>
  </r>
  <r>
    <n v="1946"/>
    <n v="501"/>
    <x v="14"/>
    <d v="2024-06-17T00:00:00"/>
    <n v="19"/>
  </r>
  <r>
    <n v="1947"/>
    <n v="657"/>
    <x v="2"/>
    <d v="2024-10-12T00:00:00"/>
    <n v="18"/>
  </r>
  <r>
    <n v="1948"/>
    <n v="566"/>
    <x v="10"/>
    <d v="2024-04-07T00:00:00"/>
    <n v="8"/>
  </r>
  <r>
    <n v="1949"/>
    <n v="748"/>
    <x v="26"/>
    <d v="2024-04-11T00:00:00"/>
    <n v="10"/>
  </r>
  <r>
    <n v="1950"/>
    <n v="632"/>
    <x v="9"/>
    <d v="2024-05-15T00:00:00"/>
    <n v="9"/>
  </r>
  <r>
    <n v="1951"/>
    <n v="657"/>
    <x v="23"/>
    <d v="2024-03-29T00:00:00"/>
    <n v="4"/>
  </r>
  <r>
    <n v="1952"/>
    <n v="680"/>
    <x v="28"/>
    <d v="2024-11-22T00:00:00"/>
    <n v="17"/>
  </r>
  <r>
    <n v="1953"/>
    <n v="552"/>
    <x v="27"/>
    <d v="2024-12-31T00:00:00"/>
    <n v="18"/>
  </r>
  <r>
    <n v="1954"/>
    <n v="636"/>
    <x v="10"/>
    <d v="2024-03-30T00:00:00"/>
    <n v="1"/>
  </r>
  <r>
    <n v="1955"/>
    <n v="654"/>
    <x v="31"/>
    <d v="2024-12-25T00:00:00"/>
    <n v="12"/>
  </r>
  <r>
    <n v="1956"/>
    <n v="544"/>
    <x v="32"/>
    <d v="2024-10-01T00:00:00"/>
    <n v="12"/>
  </r>
  <r>
    <n v="1957"/>
    <n v="628"/>
    <x v="12"/>
    <d v="2024-12-22T00:00:00"/>
    <n v="20"/>
  </r>
  <r>
    <n v="1958"/>
    <n v="724"/>
    <x v="21"/>
    <d v="2024-01-07T00:00:00"/>
    <n v="4"/>
  </r>
  <r>
    <n v="1959"/>
    <n v="524"/>
    <x v="31"/>
    <d v="2024-02-02T00:00:00"/>
    <n v="1"/>
  </r>
  <r>
    <n v="1960"/>
    <n v="744"/>
    <x v="32"/>
    <d v="2024-01-19T00:00:00"/>
    <n v="4"/>
  </r>
  <r>
    <n v="1961"/>
    <n v="659"/>
    <x v="14"/>
    <d v="2024-09-16T00:00:00"/>
    <n v="12"/>
  </r>
  <r>
    <n v="1962"/>
    <n v="683"/>
    <x v="24"/>
    <d v="2024-06-18T00:00:00"/>
    <n v="1"/>
  </r>
  <r>
    <n v="1963"/>
    <n v="683"/>
    <x v="11"/>
    <d v="2024-01-25T00:00:00"/>
    <n v="3"/>
  </r>
  <r>
    <n v="1964"/>
    <n v="725"/>
    <x v="19"/>
    <d v="2024-06-05T00:00:00"/>
    <n v="7"/>
  </r>
  <r>
    <n v="1965"/>
    <n v="718"/>
    <x v="5"/>
    <d v="2024-05-08T00:00:00"/>
    <n v="1"/>
  </r>
  <r>
    <n v="1966"/>
    <n v="520"/>
    <x v="13"/>
    <d v="2024-03-29T00:00:00"/>
    <n v="19"/>
  </r>
  <r>
    <n v="1967"/>
    <n v="551"/>
    <x v="3"/>
    <d v="2024-06-28T00:00:00"/>
    <n v="14"/>
  </r>
  <r>
    <n v="1968"/>
    <n v="532"/>
    <x v="20"/>
    <d v="2024-05-31T00:00:00"/>
    <n v="8"/>
  </r>
  <r>
    <n v="1969"/>
    <n v="571"/>
    <x v="9"/>
    <d v="2024-12-02T00:00:00"/>
    <n v="9"/>
  </r>
  <r>
    <n v="1970"/>
    <n v="525"/>
    <x v="12"/>
    <d v="2024-02-10T00:00:00"/>
    <n v="5"/>
  </r>
  <r>
    <n v="1971"/>
    <n v="593"/>
    <x v="15"/>
    <d v="2024-05-11T00:00:00"/>
    <n v="4"/>
  </r>
  <r>
    <n v="1972"/>
    <n v="655"/>
    <x v="23"/>
    <d v="2024-05-14T00:00:00"/>
    <n v="14"/>
  </r>
  <r>
    <n v="1973"/>
    <n v="679"/>
    <x v="10"/>
    <d v="2024-04-10T00:00:00"/>
    <n v="12"/>
  </r>
  <r>
    <n v="1974"/>
    <n v="617"/>
    <x v="22"/>
    <d v="2024-09-09T00:00:00"/>
    <n v="6"/>
  </r>
  <r>
    <n v="1975"/>
    <n v="710"/>
    <x v="13"/>
    <d v="2024-06-01T00:00:00"/>
    <n v="1"/>
  </r>
  <r>
    <n v="1976"/>
    <n v="560"/>
    <x v="26"/>
    <d v="2024-11-24T00:00:00"/>
    <n v="12"/>
  </r>
  <r>
    <n v="1977"/>
    <n v="737"/>
    <x v="29"/>
    <d v="2024-07-29T00:00:00"/>
    <n v="11"/>
  </r>
  <r>
    <n v="1978"/>
    <n v="606"/>
    <x v="2"/>
    <d v="2024-03-09T00:00:00"/>
    <n v="5"/>
  </r>
  <r>
    <n v="1979"/>
    <n v="670"/>
    <x v="28"/>
    <d v="2024-09-04T00:00:00"/>
    <n v="15"/>
  </r>
  <r>
    <n v="1980"/>
    <n v="653"/>
    <x v="19"/>
    <d v="2024-12-09T00:00:00"/>
    <n v="13"/>
  </r>
  <r>
    <n v="1981"/>
    <n v="584"/>
    <x v="2"/>
    <d v="2024-05-16T00:00:00"/>
    <n v="4"/>
  </r>
  <r>
    <n v="1982"/>
    <n v="510"/>
    <x v="19"/>
    <d v="2024-08-28T00:00:00"/>
    <n v="16"/>
  </r>
  <r>
    <n v="1983"/>
    <n v="734"/>
    <x v="2"/>
    <d v="2024-04-29T00:00:00"/>
    <n v="13"/>
  </r>
  <r>
    <n v="1984"/>
    <n v="659"/>
    <x v="3"/>
    <d v="2024-05-31T00:00:00"/>
    <n v="6"/>
  </r>
  <r>
    <n v="1985"/>
    <n v="697"/>
    <x v="20"/>
    <d v="2024-07-06T00:00:00"/>
    <n v="13"/>
  </r>
  <r>
    <n v="1986"/>
    <n v="653"/>
    <x v="9"/>
    <d v="2024-12-14T00:00:00"/>
    <n v="16"/>
  </r>
  <r>
    <n v="1987"/>
    <n v="697"/>
    <x v="24"/>
    <d v="2024-12-25T00:00:00"/>
    <n v="4"/>
  </r>
  <r>
    <n v="1988"/>
    <n v="583"/>
    <x v="21"/>
    <d v="2024-01-21T00:00:00"/>
    <n v="2"/>
  </r>
  <r>
    <n v="1989"/>
    <n v="599"/>
    <x v="7"/>
    <d v="2024-02-15T00:00:00"/>
    <n v="8"/>
  </r>
  <r>
    <n v="1990"/>
    <n v="632"/>
    <x v="30"/>
    <d v="2024-07-22T00:00:00"/>
    <n v="17"/>
  </r>
  <r>
    <n v="1991"/>
    <n v="520"/>
    <x v="20"/>
    <d v="2024-11-07T00:00:00"/>
    <n v="17"/>
  </r>
  <r>
    <n v="1992"/>
    <n v="621"/>
    <x v="21"/>
    <d v="2024-04-06T00:00:00"/>
    <n v="3"/>
  </r>
  <r>
    <n v="1993"/>
    <n v="651"/>
    <x v="26"/>
    <d v="2024-12-26T00:00:00"/>
    <n v="5"/>
  </r>
  <r>
    <n v="1994"/>
    <n v="577"/>
    <x v="15"/>
    <d v="2024-05-03T00:00:00"/>
    <n v="13"/>
  </r>
  <r>
    <n v="1995"/>
    <n v="560"/>
    <x v="32"/>
    <d v="2024-07-25T00:00:00"/>
    <n v="14"/>
  </r>
  <r>
    <n v="1996"/>
    <n v="647"/>
    <x v="7"/>
    <d v="2024-11-05T00:00:00"/>
    <n v="3"/>
  </r>
  <r>
    <n v="1997"/>
    <n v="627"/>
    <x v="27"/>
    <d v="2024-04-18T00:00:00"/>
    <n v="16"/>
  </r>
  <r>
    <n v="1998"/>
    <n v="666"/>
    <x v="15"/>
    <d v="2024-03-15T00:00:00"/>
    <n v="10"/>
  </r>
  <r>
    <n v="1999"/>
    <n v="670"/>
    <x v="15"/>
    <d v="2024-02-10T00:00:00"/>
    <n v="12"/>
  </r>
  <r>
    <n v="2000"/>
    <n v="713"/>
    <x v="9"/>
    <d v="2024-02-17T00:00:00"/>
    <n v="17"/>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068"/>
    <x v="0"/>
    <n v="717"/>
    <x v="0"/>
    <s v="2024-05-11"/>
    <n v="13"/>
    <m/>
    <x v="0"/>
    <s v="Defective"/>
  </r>
  <r>
    <n v="1123"/>
    <x v="1"/>
    <n v="526"/>
    <x v="1"/>
    <s v="2024-09-25"/>
    <n v="4"/>
    <m/>
    <x v="1"/>
    <s v="Late Delivery"/>
  </r>
  <r>
    <n v="1058"/>
    <x v="2"/>
    <n v="632"/>
    <x v="2"/>
    <s v="2024-10-08"/>
    <n v="1"/>
    <m/>
    <x v="2"/>
    <s v="Defective"/>
  </r>
  <r>
    <n v="1017"/>
    <x v="3"/>
    <n v="647"/>
    <x v="3"/>
    <s v="2024-03-21"/>
    <n v="19"/>
    <m/>
    <x v="3"/>
    <s v="Poor Packaging"/>
  </r>
  <r>
    <n v="1085"/>
    <x v="4"/>
    <n v="744"/>
    <x v="4"/>
    <s v="2024-10-27"/>
    <n v="20"/>
    <m/>
    <x v="4"/>
    <s v="Customer Changed Mind"/>
  </r>
  <r>
    <n v="1063"/>
    <x v="5"/>
    <n v="558"/>
    <x v="0"/>
    <s v="2024-08-20"/>
    <n v="1"/>
    <m/>
    <x v="0"/>
    <s v="Wrong Shipment"/>
  </r>
  <r>
    <n v="1149"/>
    <x v="6"/>
    <n v="610"/>
    <x v="3"/>
    <s v="2024-05-17"/>
    <n v="14"/>
    <m/>
    <x v="3"/>
    <s v="Late Delivery"/>
  </r>
  <r>
    <n v="1051"/>
    <x v="7"/>
    <n v="606"/>
    <x v="5"/>
    <s v="2024-04-11"/>
    <n v="10"/>
    <m/>
    <x v="5"/>
    <s v="Defective"/>
  </r>
  <r>
    <n v="1052"/>
    <x v="8"/>
    <n v="563"/>
    <x v="1"/>
    <s v="2024-06-14"/>
    <n v="1"/>
    <m/>
    <x v="1"/>
    <s v="Poor Packaging"/>
  </r>
  <r>
    <n v="1036"/>
    <x v="9"/>
    <n v="638"/>
    <x v="4"/>
    <s v="2024-05-19"/>
    <n v="14"/>
    <m/>
    <x v="4"/>
    <s v="Late Delivery"/>
  </r>
  <r>
    <n v="1033"/>
    <x v="10"/>
    <n v="700"/>
    <x v="3"/>
    <s v="2024-12-10"/>
    <n v="12"/>
    <m/>
    <x v="3"/>
    <s v="Customer Changed Mind"/>
  </r>
  <r>
    <n v="1001"/>
    <x v="11"/>
    <n v="612"/>
    <x v="2"/>
    <s v="2024-07-16"/>
    <n v="14"/>
    <m/>
    <x v="2"/>
    <s v="Late Delivery"/>
  </r>
  <r>
    <n v="1029"/>
    <x v="12"/>
    <n v="577"/>
    <x v="4"/>
    <s v="2024-04-03"/>
    <n v="14"/>
    <m/>
    <x v="4"/>
    <s v="Late Delivery"/>
  </r>
  <r>
    <n v="1132"/>
    <x v="13"/>
    <n v="571"/>
    <x v="0"/>
    <s v="2024-08-04"/>
    <n v="16"/>
    <m/>
    <x v="0"/>
    <s v="Customer Changed Mind"/>
  </r>
  <r>
    <n v="1061"/>
    <x v="14"/>
    <n v="599"/>
    <x v="3"/>
    <s v="2024-10-16"/>
    <n v="4"/>
    <m/>
    <x v="3"/>
    <s v="Defective"/>
  </r>
  <r>
    <n v="1117"/>
    <x v="15"/>
    <n v="676"/>
    <x v="5"/>
    <s v="2024-08-24"/>
    <n v="12"/>
    <m/>
    <x v="5"/>
    <s v="Customer Changed Mind"/>
  </r>
  <r>
    <n v="1090"/>
    <x v="16"/>
    <n v="535"/>
    <x v="2"/>
    <s v="2024-07-15"/>
    <n v="12"/>
    <m/>
    <x v="2"/>
    <s v="Customer Changed Mind"/>
  </r>
  <r>
    <n v="1143"/>
    <x v="17"/>
    <n v="706"/>
    <x v="4"/>
    <s v="2024-04-22"/>
    <n v="15"/>
    <m/>
    <x v="4"/>
    <s v="Defective"/>
  </r>
  <r>
    <n v="1140"/>
    <x v="18"/>
    <n v="623"/>
    <x v="6"/>
    <s v="2024-07-29"/>
    <n v="12"/>
    <m/>
    <x v="6"/>
    <s v="Customer Changed Mind"/>
  </r>
  <r>
    <n v="1026"/>
    <x v="19"/>
    <n v="549"/>
    <x v="2"/>
    <s v="2024-01-13"/>
    <n v="6"/>
    <m/>
    <x v="2"/>
    <s v="Late Delivery"/>
  </r>
  <r>
    <n v="1090"/>
    <x v="20"/>
    <n v="535"/>
    <x v="2"/>
    <s v="2024-07-15"/>
    <n v="12"/>
    <m/>
    <x v="2"/>
    <s v="Defective"/>
  </r>
  <r>
    <n v="1107"/>
    <x v="21"/>
    <n v="655"/>
    <x v="4"/>
    <s v="2024-06-01"/>
    <n v="5"/>
    <m/>
    <x v="4"/>
    <s v="Poor Packaging"/>
  </r>
  <r>
    <n v="1016"/>
    <x v="22"/>
    <n v="667"/>
    <x v="2"/>
    <s v="2024-03-17"/>
    <n v="15"/>
    <m/>
    <x v="2"/>
    <s v="Customer Changed Mind"/>
  </r>
  <r>
    <n v="1104"/>
    <x v="23"/>
    <n v="596"/>
    <x v="4"/>
    <s v="2024-08-07"/>
    <n v="9"/>
    <m/>
    <x v="4"/>
    <s v="Wrong Shipment"/>
  </r>
  <r>
    <n v="1061"/>
    <x v="24"/>
    <n v="599"/>
    <x v="3"/>
    <s v="2024-09-28"/>
    <n v="4"/>
    <m/>
    <x v="3"/>
    <s v="Late Delivery"/>
  </r>
  <r>
    <n v="1050"/>
    <x v="25"/>
    <n v="530"/>
    <x v="6"/>
    <s v="2024-04-01"/>
    <n v="18"/>
    <m/>
    <x v="6"/>
    <s v="Poor Packaging"/>
  </r>
  <r>
    <n v="1009"/>
    <x v="26"/>
    <n v="506"/>
    <x v="6"/>
    <s v="2024-11-27"/>
    <n v="6"/>
    <m/>
    <x v="6"/>
    <s v="Defective"/>
  </r>
  <r>
    <n v="1038"/>
    <x v="27"/>
    <n v="638"/>
    <x v="3"/>
    <s v="2024-07-10"/>
    <n v="6"/>
    <m/>
    <x v="3"/>
    <s v="Poor Packaging"/>
  </r>
  <r>
    <n v="1141"/>
    <x v="28"/>
    <n v="687"/>
    <x v="5"/>
    <s v="2024-09-08"/>
    <n v="13"/>
    <m/>
    <x v="5"/>
    <s v="Customer Changed Mind"/>
  </r>
  <r>
    <n v="1027"/>
    <x v="29"/>
    <n v="544"/>
    <x v="7"/>
    <s v="2024-11-01"/>
    <n v="16"/>
    <m/>
    <x v="7"/>
    <s v="Customer Changed Mind"/>
  </r>
  <r>
    <n v="1030"/>
    <x v="30"/>
    <n v="615"/>
    <x v="0"/>
    <s v="2024-03-24"/>
    <n v="20"/>
    <m/>
    <x v="0"/>
    <s v="Poor Packaging"/>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r>
    <m/>
    <x v="31"/>
    <m/>
    <x v="8"/>
    <m/>
    <m/>
    <m/>
    <x v="8"/>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
  <r>
    <s v="Electronics"/>
    <s v="Smartphone"/>
    <s v="A100"/>
    <n v="1"/>
    <x v="0"/>
  </r>
  <r>
    <s v="Audio"/>
    <s v="Headphones"/>
    <s v="B200"/>
    <n v="2"/>
    <x v="1"/>
  </r>
  <r>
    <s v="Audio"/>
    <s v="Soundbar"/>
    <s v="Z2600"/>
    <n v="2"/>
    <x v="1"/>
  </r>
  <r>
    <s v="Wearables"/>
    <s v="Smartwatch"/>
    <s v="C300"/>
    <n v="3"/>
    <x v="2"/>
  </r>
  <r>
    <s v="Computers"/>
    <s v="Laptop"/>
    <s v="D400"/>
    <n v="4"/>
    <x v="3"/>
  </r>
  <r>
    <s v="Tablets"/>
    <s v="Tablet"/>
    <s v="E500"/>
    <n v="5"/>
    <x v="4"/>
  </r>
  <r>
    <s v="Accessories"/>
    <s v="Power Bank"/>
    <s v="F600"/>
    <n v="6"/>
    <x v="5"/>
  </r>
  <r>
    <s v="Accessories"/>
    <s v="Wireless Charger"/>
    <s v="U2100"/>
    <n v="6"/>
    <x v="5"/>
  </r>
  <r>
    <s v="Accessories"/>
    <s v="Wireless Mouse"/>
    <s v="G700"/>
    <n v="7"/>
    <x v="6"/>
  </r>
  <r>
    <s v="Accessories"/>
    <s v="Keyboard"/>
    <s v="L1200"/>
    <n v="7"/>
    <x v="6"/>
  </r>
  <r>
    <s v="Gaming"/>
    <s v="Gaming Keyboard"/>
    <s v="X2400"/>
    <n v="7"/>
    <x v="6"/>
  </r>
  <r>
    <s v="Gaming"/>
    <s v="Gaming Mouse"/>
    <s v="Y2500"/>
    <n v="7"/>
    <x v="6"/>
  </r>
  <r>
    <s v="Audio"/>
    <s v="Bluetooth Speaker"/>
    <s v="H800"/>
    <n v="8"/>
    <x v="7"/>
  </r>
  <r>
    <s v="Audio"/>
    <s v="Noise Cancelling Headphones"/>
    <s v="R1800"/>
    <n v="8"/>
    <x v="7"/>
  </r>
  <r>
    <s v="Gaming"/>
    <s v="Gaming Console"/>
    <s v="I900"/>
    <n v="9"/>
    <x v="8"/>
  </r>
  <r>
    <s v="Electronics"/>
    <s v="Smart TV"/>
    <s v="J1000"/>
    <n v="10"/>
    <x v="9"/>
  </r>
  <r>
    <s v="Entertainment"/>
    <s v="Mini Projector"/>
    <s v="H3400"/>
    <n v="10"/>
    <x v="9"/>
  </r>
  <r>
    <s v="Storage"/>
    <s v="External HDD"/>
    <s v="K1100"/>
    <n v="11"/>
    <x v="10"/>
  </r>
  <r>
    <s v="Gaming"/>
    <s v="VR Headset"/>
    <s v="M1300"/>
    <n v="12"/>
    <x v="11"/>
  </r>
  <r>
    <s v="Wearables"/>
    <s v="Fitness Tracker"/>
    <s v="N1400"/>
    <n v="13"/>
    <x v="12"/>
  </r>
  <r>
    <s v="Entertainment"/>
    <s v="Streaming Stick"/>
    <s v="O1500"/>
    <n v="14"/>
    <x v="13"/>
  </r>
  <r>
    <s v="Smart Home"/>
    <s v="Smart Doorbell"/>
    <s v="D3000"/>
    <n v="15"/>
    <x v="14"/>
  </r>
  <r>
    <s v="Smart Home"/>
    <s v="Security Camera"/>
    <s v="P1600"/>
    <n v="15"/>
    <x v="14"/>
  </r>
  <r>
    <s v="Smart Home"/>
    <s v="Robot Vacuum"/>
    <s v="Q1700"/>
    <n v="16"/>
    <x v="15"/>
  </r>
  <r>
    <s v="Computers"/>
    <s v="Graphics Card"/>
    <s v="S1900"/>
    <n v="17"/>
    <x v="16"/>
  </r>
  <r>
    <s v="Smart Home"/>
    <s v="Smart Light Bulb"/>
    <s v="T2000"/>
    <n v="18"/>
    <x v="17"/>
  </r>
  <r>
    <s v="Photography"/>
    <s v="DSLR Camera"/>
    <s v="V2200"/>
    <n v="19"/>
    <x v="18"/>
  </r>
  <r>
    <s v="Photography"/>
    <s v="Action Camera"/>
    <s v="W2300"/>
    <n v="19"/>
    <x v="18"/>
  </r>
  <r>
    <s v="Gadgets"/>
    <s v="Drone"/>
    <s v="A2700"/>
    <n v="20"/>
    <x v="19"/>
  </r>
  <r>
    <s v="Electronics"/>
    <s v="E-Reader"/>
    <s v="B2800"/>
    <n v="21"/>
    <x v="20"/>
  </r>
  <r>
    <s v="Automotive"/>
    <s v="Car Dash Cam"/>
    <s v="C2900"/>
    <n v="22"/>
    <x v="21"/>
  </r>
  <r>
    <s v="Accessories"/>
    <s v="Portable Monitor"/>
    <s v="E3100"/>
    <n v="23"/>
    <x v="22"/>
  </r>
  <r>
    <s v="Accessories"/>
    <s v="USB-C Docking Station"/>
    <s v="F3200"/>
    <n v="24"/>
    <x v="23"/>
  </r>
  <r>
    <s v="Gadgets"/>
    <s v="Digital Picture Frame"/>
    <s v="G3300"/>
    <n v="25"/>
    <x v="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615EC2-7BBB-4D94-8E30-E3BF0424EC69}" name="PivotTable1" cacheId="2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J2:J36" firstHeaderRow="1" firstDataRow="1" firstDataCol="1"/>
  <pivotFields count="5">
    <pivotField compact="0" outline="0" showAll="0" defaultSubtotal="0"/>
    <pivotField compact="0" outline="0" showAll="0" defaultSubtotal="0"/>
    <pivotField axis="axisRow" compact="0" outline="0" showAll="0" defaultSubtotal="0">
      <items count="34">
        <item x="24"/>
        <item x="16"/>
        <item x="14"/>
        <item x="21"/>
        <item x="27"/>
        <item x="0"/>
        <item x="29"/>
        <item x="31"/>
        <item x="7"/>
        <item x="6"/>
        <item x="25"/>
        <item x="13"/>
        <item x="2"/>
        <item x="10"/>
        <item x="20"/>
        <item x="8"/>
        <item x="28"/>
        <item x="33"/>
        <item x="23"/>
        <item x="30"/>
        <item x="15"/>
        <item x="11"/>
        <item x="17"/>
        <item x="32"/>
        <item x="22"/>
        <item x="5"/>
        <item x="4"/>
        <item x="12"/>
        <item x="18"/>
        <item x="26"/>
        <item x="19"/>
        <item x="1"/>
        <item x="3"/>
        <item x="9"/>
      </items>
    </pivotField>
    <pivotField compact="0" numFmtId="2" outline="0" showAll="0" defaultSubtotal="0"/>
    <pivotField compact="0" outline="0" showAll="0" defaultSubtotal="0"/>
  </pivotFields>
  <rowFields count="1">
    <field x="2"/>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F8AB27E-EF8F-4AE0-81B2-3E3C442D5237}" name="PivotTable1"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Supplier Name">
  <location ref="A7:B33" firstHeaderRow="1" firstDataRow="1" firstDataCol="1"/>
  <pivotFields count="10">
    <pivotField showAll="0"/>
    <pivotField showAll="0"/>
    <pivotField showAll="0"/>
    <pivotField numFmtId="14" showAll="0">
      <items count="348">
        <item x="12"/>
        <item x="333"/>
        <item x="126"/>
        <item x="270"/>
        <item x="61"/>
        <item x="199"/>
        <item x="232"/>
        <item x="201"/>
        <item x="245"/>
        <item x="68"/>
        <item x="264"/>
        <item x="90"/>
        <item x="307"/>
        <item x="53"/>
        <item x="122"/>
        <item x="27"/>
        <item x="101"/>
        <item x="135"/>
        <item x="138"/>
        <item x="132"/>
        <item x="309"/>
        <item x="82"/>
        <item x="142"/>
        <item x="41"/>
        <item x="263"/>
        <item x="196"/>
        <item x="266"/>
        <item x="99"/>
        <item x="334"/>
        <item x="217"/>
        <item x="321"/>
        <item x="119"/>
        <item x="316"/>
        <item x="178"/>
        <item x="38"/>
        <item x="310"/>
        <item x="149"/>
        <item x="28"/>
        <item x="235"/>
        <item x="159"/>
        <item x="72"/>
        <item x="168"/>
        <item x="187"/>
        <item x="66"/>
        <item x="33"/>
        <item x="281"/>
        <item x="325"/>
        <item x="197"/>
        <item x="191"/>
        <item x="127"/>
        <item x="226"/>
        <item x="206"/>
        <item x="317"/>
        <item x="39"/>
        <item x="75"/>
        <item x="304"/>
        <item x="7"/>
        <item x="341"/>
        <item x="121"/>
        <item x="86"/>
        <item x="96"/>
        <item x="203"/>
        <item x="194"/>
        <item x="279"/>
        <item x="262"/>
        <item x="314"/>
        <item x="177"/>
        <item x="91"/>
        <item x="60"/>
        <item x="151"/>
        <item x="346"/>
        <item x="154"/>
        <item x="152"/>
        <item x="246"/>
        <item x="130"/>
        <item x="315"/>
        <item x="166"/>
        <item x="253"/>
        <item x="169"/>
        <item x="229"/>
        <item x="240"/>
        <item x="16"/>
        <item x="293"/>
        <item x="324"/>
        <item x="202"/>
        <item x="64"/>
        <item x="98"/>
        <item x="216"/>
        <item x="104"/>
        <item x="32"/>
        <item x="345"/>
        <item x="24"/>
        <item x="287"/>
        <item x="228"/>
        <item x="329"/>
        <item x="208"/>
        <item x="181"/>
        <item x="136"/>
        <item x="233"/>
        <item x="192"/>
        <item x="30"/>
        <item x="300"/>
        <item x="183"/>
        <item x="5"/>
        <item x="328"/>
        <item x="256"/>
        <item x="44"/>
        <item x="241"/>
        <item x="272"/>
        <item x="167"/>
        <item x="207"/>
        <item x="170"/>
        <item x="13"/>
        <item x="171"/>
        <item x="280"/>
        <item x="83"/>
        <item x="283"/>
        <item x="153"/>
        <item x="288"/>
        <item x="0"/>
        <item x="109"/>
        <item x="230"/>
        <item x="85"/>
        <item x="37"/>
        <item x="276"/>
        <item x="223"/>
        <item x="2"/>
        <item x="165"/>
        <item x="54"/>
        <item x="213"/>
        <item x="155"/>
        <item x="298"/>
        <item x="172"/>
        <item x="84"/>
        <item x="145"/>
        <item x="43"/>
        <item x="19"/>
        <item x="20"/>
        <item x="50"/>
        <item x="184"/>
        <item x="340"/>
        <item x="292"/>
        <item x="234"/>
        <item x="180"/>
        <item x="295"/>
        <item x="339"/>
        <item x="42"/>
        <item x="211"/>
        <item x="107"/>
        <item x="285"/>
        <item x="243"/>
        <item x="274"/>
        <item x="335"/>
        <item x="286"/>
        <item x="176"/>
        <item x="29"/>
        <item x="94"/>
        <item x="237"/>
        <item x="185"/>
        <item x="214"/>
        <item x="69"/>
        <item x="289"/>
        <item x="89"/>
        <item x="308"/>
        <item x="252"/>
        <item x="236"/>
        <item x="297"/>
        <item x="65"/>
        <item x="57"/>
        <item x="250"/>
        <item x="338"/>
        <item x="58"/>
        <item x="70"/>
        <item x="322"/>
        <item x="56"/>
        <item x="220"/>
        <item x="115"/>
        <item x="204"/>
        <item x="100"/>
        <item x="190"/>
        <item x="95"/>
        <item x="200"/>
        <item x="9"/>
        <item x="210"/>
        <item x="303"/>
        <item x="112"/>
        <item x="221"/>
        <item x="74"/>
        <item x="173"/>
        <item x="102"/>
        <item x="306"/>
        <item x="22"/>
        <item x="77"/>
        <item x="175"/>
        <item x="162"/>
        <item x="269"/>
        <item x="284"/>
        <item x="182"/>
        <item x="141"/>
        <item x="164"/>
        <item x="193"/>
        <item x="62"/>
        <item x="273"/>
        <item x="117"/>
        <item x="231"/>
        <item x="174"/>
        <item x="25"/>
        <item x="267"/>
        <item x="1"/>
        <item x="11"/>
        <item x="14"/>
        <item x="51"/>
        <item x="125"/>
        <item x="195"/>
        <item x="320"/>
        <item x="23"/>
        <item x="239"/>
        <item x="160"/>
        <item x="259"/>
        <item x="35"/>
        <item x="337"/>
        <item x="312"/>
        <item x="144"/>
        <item x="103"/>
        <item x="150"/>
        <item x="225"/>
        <item x="81"/>
        <item x="10"/>
        <item x="260"/>
        <item x="4"/>
        <item x="59"/>
        <item x="343"/>
        <item x="311"/>
        <item x="265"/>
        <item x="17"/>
        <item x="301"/>
        <item x="258"/>
        <item x="88"/>
        <item x="209"/>
        <item x="222"/>
        <item x="215"/>
        <item x="332"/>
        <item x="45"/>
        <item x="40"/>
        <item x="147"/>
        <item x="108"/>
        <item x="124"/>
        <item x="331"/>
        <item x="146"/>
        <item x="63"/>
        <item x="342"/>
        <item x="131"/>
        <item x="26"/>
        <item x="97"/>
        <item x="198"/>
        <item x="179"/>
        <item x="48"/>
        <item x="278"/>
        <item x="79"/>
        <item x="244"/>
        <item x="52"/>
        <item x="219"/>
        <item x="249"/>
        <item x="18"/>
        <item x="137"/>
        <item x="123"/>
        <item x="140"/>
        <item x="294"/>
        <item x="76"/>
        <item x="255"/>
        <item x="186"/>
        <item x="73"/>
        <item x="319"/>
        <item x="36"/>
        <item x="318"/>
        <item x="254"/>
        <item x="92"/>
        <item x="163"/>
        <item x="118"/>
        <item x="247"/>
        <item x="15"/>
        <item x="344"/>
        <item x="290"/>
        <item x="34"/>
        <item x="205"/>
        <item x="224"/>
        <item x="134"/>
        <item x="143"/>
        <item x="49"/>
        <item x="129"/>
        <item x="47"/>
        <item x="46"/>
        <item x="330"/>
        <item x="67"/>
        <item x="158"/>
        <item x="139"/>
        <item x="261"/>
        <item x="114"/>
        <item x="291"/>
        <item x="78"/>
        <item x="218"/>
        <item x="212"/>
        <item x="55"/>
        <item x="31"/>
        <item x="87"/>
        <item x="238"/>
        <item x="105"/>
        <item x="93"/>
        <item x="271"/>
        <item x="161"/>
        <item x="242"/>
        <item x="111"/>
        <item x="106"/>
        <item x="277"/>
        <item x="268"/>
        <item x="120"/>
        <item x="296"/>
        <item x="71"/>
        <item x="275"/>
        <item x="133"/>
        <item x="336"/>
        <item x="188"/>
        <item x="189"/>
        <item x="323"/>
        <item x="282"/>
        <item x="148"/>
        <item x="305"/>
        <item x="80"/>
        <item x="8"/>
        <item x="326"/>
        <item x="21"/>
        <item x="113"/>
        <item x="227"/>
        <item x="248"/>
        <item x="157"/>
        <item x="302"/>
        <item x="313"/>
        <item x="257"/>
        <item x="6"/>
        <item x="110"/>
        <item x="156"/>
        <item x="116"/>
        <item x="3"/>
        <item x="327"/>
        <item x="128"/>
        <item x="299"/>
        <item x="251"/>
        <item t="default"/>
      </items>
    </pivotField>
    <pivotField showAll="0"/>
    <pivotField dataField="1" showAll="0"/>
    <pivotField showAll="0"/>
    <pivotField axis="axisRow" showAll="0" sortType="descending">
      <items count="26">
        <item x="12"/>
        <item x="16"/>
        <item x="9"/>
        <item x="10"/>
        <item x="17"/>
        <item x="1"/>
        <item x="24"/>
        <item x="18"/>
        <item x="6"/>
        <item x="20"/>
        <item x="8"/>
        <item x="3"/>
        <item x="2"/>
        <item x="22"/>
        <item x="21"/>
        <item x="23"/>
        <item x="14"/>
        <item x="7"/>
        <item x="4"/>
        <item x="13"/>
        <item x="5"/>
        <item x="19"/>
        <item x="15"/>
        <item x="11"/>
        <item x="0"/>
        <item t="default"/>
      </items>
      <autoSortScope>
        <pivotArea dataOnly="0" outline="0" fieldPosition="0">
          <references count="1">
            <reference field="4294967294" count="1" selected="0">
              <x v="0"/>
            </reference>
          </references>
        </pivotArea>
      </autoSortScope>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7"/>
  </rowFields>
  <rowItems count="26">
    <i>
      <x v="5"/>
    </i>
    <i>
      <x v="22"/>
    </i>
    <i>
      <x v="17"/>
    </i>
    <i>
      <x v="15"/>
    </i>
    <i>
      <x v="18"/>
    </i>
    <i>
      <x v="10"/>
    </i>
    <i>
      <x v="3"/>
    </i>
    <i>
      <x v="16"/>
    </i>
    <i>
      <x v="20"/>
    </i>
    <i>
      <x v="7"/>
    </i>
    <i>
      <x v="14"/>
    </i>
    <i>
      <x v="8"/>
    </i>
    <i>
      <x v="23"/>
    </i>
    <i>
      <x/>
    </i>
    <i>
      <x v="1"/>
    </i>
    <i>
      <x v="4"/>
    </i>
    <i>
      <x v="9"/>
    </i>
    <i>
      <x v="13"/>
    </i>
    <i>
      <x v="11"/>
    </i>
    <i>
      <x v="19"/>
    </i>
    <i>
      <x v="6"/>
    </i>
    <i>
      <x v="24"/>
    </i>
    <i>
      <x v="2"/>
    </i>
    <i>
      <x v="21"/>
    </i>
    <i>
      <x v="12"/>
    </i>
    <i t="grand">
      <x/>
    </i>
  </rowItems>
  <colItems count="1">
    <i/>
  </colItems>
  <dataFields count="1">
    <dataField name="Sum of Order Quantity" fld="5" baseField="0" baseItem="0"/>
  </dataFields>
  <formats count="4">
    <format dxfId="25">
      <pivotArea field="7" type="button" dataOnly="0" labelOnly="1" outline="0" axis="axisRow" fieldPosition="0"/>
    </format>
    <format dxfId="24">
      <pivotArea dataOnly="0" labelOnly="1" outline="0" axis="axisValues" fieldPosition="0"/>
    </format>
    <format dxfId="23">
      <pivotArea field="7" type="button" dataOnly="0" labelOnly="1" outline="0" axis="axisRow" fieldPosition="0"/>
    </format>
    <format dxfId="2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126B7E0-4606-4E47-B80A-BD99CCB8FC29}" name="PivotTable1"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Supplier Name">
  <location ref="A5:B31" firstHeaderRow="1" firstDataRow="1" firstDataCol="1"/>
  <pivotFields count="10">
    <pivotField showAll="0"/>
    <pivotField showAll="0"/>
    <pivotField showAll="0"/>
    <pivotField numFmtId="14" showAll="0">
      <items count="348">
        <item x="12"/>
        <item x="333"/>
        <item x="126"/>
        <item x="270"/>
        <item x="61"/>
        <item x="199"/>
        <item x="232"/>
        <item x="201"/>
        <item x="245"/>
        <item x="68"/>
        <item x="264"/>
        <item x="90"/>
        <item x="307"/>
        <item x="53"/>
        <item x="122"/>
        <item x="27"/>
        <item x="101"/>
        <item x="135"/>
        <item x="138"/>
        <item x="132"/>
        <item x="309"/>
        <item x="82"/>
        <item x="142"/>
        <item x="41"/>
        <item x="263"/>
        <item x="196"/>
        <item x="266"/>
        <item x="99"/>
        <item x="334"/>
        <item x="217"/>
        <item x="321"/>
        <item x="119"/>
        <item x="316"/>
        <item x="178"/>
        <item x="38"/>
        <item x="310"/>
        <item x="149"/>
        <item x="28"/>
        <item x="235"/>
        <item x="159"/>
        <item x="72"/>
        <item x="168"/>
        <item x="187"/>
        <item x="66"/>
        <item x="33"/>
        <item x="281"/>
        <item x="325"/>
        <item x="197"/>
        <item x="191"/>
        <item x="127"/>
        <item x="226"/>
        <item x="206"/>
        <item x="317"/>
        <item x="39"/>
        <item x="75"/>
        <item x="304"/>
        <item x="7"/>
        <item x="341"/>
        <item x="121"/>
        <item x="86"/>
        <item x="96"/>
        <item x="203"/>
        <item x="194"/>
        <item x="279"/>
        <item x="262"/>
        <item x="314"/>
        <item x="177"/>
        <item x="91"/>
        <item x="60"/>
        <item x="151"/>
        <item x="346"/>
        <item x="154"/>
        <item x="152"/>
        <item x="246"/>
        <item x="130"/>
        <item x="315"/>
        <item x="166"/>
        <item x="253"/>
        <item x="169"/>
        <item x="229"/>
        <item x="240"/>
        <item x="16"/>
        <item x="293"/>
        <item x="324"/>
        <item x="202"/>
        <item x="64"/>
        <item x="98"/>
        <item x="216"/>
        <item x="104"/>
        <item x="32"/>
        <item x="345"/>
        <item x="24"/>
        <item x="287"/>
        <item x="228"/>
        <item x="329"/>
        <item x="208"/>
        <item x="181"/>
        <item x="136"/>
        <item x="233"/>
        <item x="192"/>
        <item x="30"/>
        <item x="300"/>
        <item x="183"/>
        <item x="5"/>
        <item x="328"/>
        <item x="256"/>
        <item x="44"/>
        <item x="241"/>
        <item x="272"/>
        <item x="167"/>
        <item x="207"/>
        <item x="170"/>
        <item x="13"/>
        <item x="171"/>
        <item x="280"/>
        <item x="83"/>
        <item x="283"/>
        <item x="153"/>
        <item x="288"/>
        <item x="0"/>
        <item x="109"/>
        <item x="230"/>
        <item x="85"/>
        <item x="37"/>
        <item x="276"/>
        <item x="223"/>
        <item x="2"/>
        <item x="165"/>
        <item x="54"/>
        <item x="213"/>
        <item x="155"/>
        <item x="298"/>
        <item x="172"/>
        <item x="84"/>
        <item x="145"/>
        <item x="43"/>
        <item x="19"/>
        <item x="20"/>
        <item x="50"/>
        <item x="184"/>
        <item x="340"/>
        <item x="292"/>
        <item x="234"/>
        <item x="180"/>
        <item x="295"/>
        <item x="339"/>
        <item x="42"/>
        <item x="211"/>
        <item x="107"/>
        <item x="285"/>
        <item x="243"/>
        <item x="274"/>
        <item x="335"/>
        <item x="286"/>
        <item x="176"/>
        <item x="29"/>
        <item x="94"/>
        <item x="237"/>
        <item x="185"/>
        <item x="214"/>
        <item x="69"/>
        <item x="289"/>
        <item x="89"/>
        <item x="308"/>
        <item x="252"/>
        <item x="236"/>
        <item x="297"/>
        <item x="65"/>
        <item x="57"/>
        <item x="250"/>
        <item x="338"/>
        <item x="58"/>
        <item x="70"/>
        <item x="322"/>
        <item x="56"/>
        <item x="220"/>
        <item x="115"/>
        <item x="204"/>
        <item x="100"/>
        <item x="190"/>
        <item x="95"/>
        <item x="200"/>
        <item x="9"/>
        <item x="210"/>
        <item x="303"/>
        <item x="112"/>
        <item x="221"/>
        <item x="74"/>
        <item x="173"/>
        <item x="102"/>
        <item x="306"/>
        <item x="22"/>
        <item x="77"/>
        <item x="175"/>
        <item x="162"/>
        <item x="269"/>
        <item x="284"/>
        <item x="182"/>
        <item x="141"/>
        <item x="164"/>
        <item x="193"/>
        <item x="62"/>
        <item x="273"/>
        <item x="117"/>
        <item x="231"/>
        <item x="174"/>
        <item x="25"/>
        <item x="267"/>
        <item x="1"/>
        <item x="11"/>
        <item x="14"/>
        <item x="51"/>
        <item x="125"/>
        <item x="195"/>
        <item x="320"/>
        <item x="23"/>
        <item x="239"/>
        <item x="160"/>
        <item x="259"/>
        <item x="35"/>
        <item x="337"/>
        <item x="312"/>
        <item x="144"/>
        <item x="103"/>
        <item x="150"/>
        <item x="225"/>
        <item x="81"/>
        <item x="10"/>
        <item x="260"/>
        <item x="4"/>
        <item x="59"/>
        <item x="343"/>
        <item x="311"/>
        <item x="265"/>
        <item x="17"/>
        <item x="301"/>
        <item x="258"/>
        <item x="88"/>
        <item x="209"/>
        <item x="222"/>
        <item x="215"/>
        <item x="332"/>
        <item x="45"/>
        <item x="40"/>
        <item x="147"/>
        <item x="108"/>
        <item x="124"/>
        <item x="331"/>
        <item x="146"/>
        <item x="63"/>
        <item x="342"/>
        <item x="131"/>
        <item x="26"/>
        <item x="97"/>
        <item x="198"/>
        <item x="179"/>
        <item x="48"/>
        <item x="278"/>
        <item x="79"/>
        <item x="244"/>
        <item x="52"/>
        <item x="219"/>
        <item x="249"/>
        <item x="18"/>
        <item x="137"/>
        <item x="123"/>
        <item x="140"/>
        <item x="294"/>
        <item x="76"/>
        <item x="255"/>
        <item x="186"/>
        <item x="73"/>
        <item x="319"/>
        <item x="36"/>
        <item x="318"/>
        <item x="254"/>
        <item x="92"/>
        <item x="163"/>
        <item x="118"/>
        <item x="247"/>
        <item x="15"/>
        <item x="344"/>
        <item x="290"/>
        <item x="34"/>
        <item x="205"/>
        <item x="224"/>
        <item x="134"/>
        <item x="143"/>
        <item x="49"/>
        <item x="129"/>
        <item x="47"/>
        <item x="46"/>
        <item x="330"/>
        <item x="67"/>
        <item x="158"/>
        <item x="139"/>
        <item x="261"/>
        <item x="114"/>
        <item x="291"/>
        <item x="78"/>
        <item x="218"/>
        <item x="212"/>
        <item x="55"/>
        <item x="31"/>
        <item x="87"/>
        <item x="238"/>
        <item x="105"/>
        <item x="93"/>
        <item x="271"/>
        <item x="161"/>
        <item x="242"/>
        <item x="111"/>
        <item x="106"/>
        <item x="277"/>
        <item x="268"/>
        <item x="120"/>
        <item x="296"/>
        <item x="71"/>
        <item x="275"/>
        <item x="133"/>
        <item x="336"/>
        <item x="188"/>
        <item x="189"/>
        <item x="323"/>
        <item x="282"/>
        <item x="148"/>
        <item x="305"/>
        <item x="80"/>
        <item x="8"/>
        <item x="326"/>
        <item x="21"/>
        <item x="113"/>
        <item x="227"/>
        <item x="248"/>
        <item x="157"/>
        <item x="302"/>
        <item x="313"/>
        <item x="257"/>
        <item x="6"/>
        <item x="110"/>
        <item x="156"/>
        <item x="116"/>
        <item x="3"/>
        <item x="327"/>
        <item x="128"/>
        <item x="299"/>
        <item x="251"/>
        <item t="default"/>
      </items>
    </pivotField>
    <pivotField showAll="0">
      <items count="11">
        <item x="0"/>
        <item x="5"/>
        <item x="2"/>
        <item x="6"/>
        <item x="9"/>
        <item x="3"/>
        <item x="8"/>
        <item x="1"/>
        <item x="7"/>
        <item x="4"/>
        <item t="default"/>
      </items>
    </pivotField>
    <pivotField dataField="1" showAll="0"/>
    <pivotField showAll="0"/>
    <pivotField axis="axisRow" showAll="0" sortType="descending">
      <items count="26">
        <item x="12"/>
        <item x="16"/>
        <item x="9"/>
        <item x="10"/>
        <item x="17"/>
        <item x="1"/>
        <item x="24"/>
        <item x="18"/>
        <item x="6"/>
        <item x="20"/>
        <item x="8"/>
        <item x="3"/>
        <item x="2"/>
        <item x="22"/>
        <item x="21"/>
        <item x="23"/>
        <item x="14"/>
        <item x="7"/>
        <item x="4"/>
        <item x="13"/>
        <item x="5"/>
        <item x="19"/>
        <item x="15"/>
        <item x="11"/>
        <item x="0"/>
        <item t="default"/>
      </items>
      <autoSortScope>
        <pivotArea dataOnly="0" outline="0" fieldPosition="0">
          <references count="1">
            <reference field="4294967294" count="1" selected="0">
              <x v="0"/>
            </reference>
          </references>
        </pivotArea>
      </autoSortScope>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7"/>
  </rowFields>
  <rowItems count="26">
    <i>
      <x v="5"/>
    </i>
    <i>
      <x v="22"/>
    </i>
    <i>
      <x v="17"/>
    </i>
    <i>
      <x v="15"/>
    </i>
    <i>
      <x v="18"/>
    </i>
    <i>
      <x v="10"/>
    </i>
    <i>
      <x v="3"/>
    </i>
    <i>
      <x v="16"/>
    </i>
    <i>
      <x v="20"/>
    </i>
    <i>
      <x v="7"/>
    </i>
    <i>
      <x v="14"/>
    </i>
    <i>
      <x v="8"/>
    </i>
    <i>
      <x v="23"/>
    </i>
    <i>
      <x/>
    </i>
    <i>
      <x v="1"/>
    </i>
    <i>
      <x v="4"/>
    </i>
    <i>
      <x v="9"/>
    </i>
    <i>
      <x v="13"/>
    </i>
    <i>
      <x v="11"/>
    </i>
    <i>
      <x v="19"/>
    </i>
    <i>
      <x v="6"/>
    </i>
    <i>
      <x v="24"/>
    </i>
    <i>
      <x v="2"/>
    </i>
    <i>
      <x v="21"/>
    </i>
    <i>
      <x v="12"/>
    </i>
    <i t="grand">
      <x/>
    </i>
  </rowItems>
  <colItems count="1">
    <i/>
  </colItems>
  <dataFields count="1">
    <dataField name="Sum of Order Quantity" fld="5" baseField="0" baseItem="0"/>
  </dataFields>
  <formats count="4">
    <format dxfId="21">
      <pivotArea field="7" type="button" dataOnly="0" labelOnly="1" outline="0" axis="axisRow" fieldPosition="0"/>
    </format>
    <format dxfId="20">
      <pivotArea dataOnly="0" labelOnly="1" outline="0" axis="axisValues" fieldPosition="0"/>
    </format>
    <format dxfId="19">
      <pivotArea field="7" type="button" dataOnly="0" labelOnly="1" outline="0" axis="axisRow" fieldPosition="0"/>
    </format>
    <format dxfId="18">
      <pivotArea dataOnly="0" labelOnly="1" outline="0" axis="axisValues" fieldPosition="0"/>
    </format>
  </formats>
  <chartFormats count="2">
    <chartFormat chart="5"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3DA09A9-5C43-4705-B7D8-4E7B35A6B324}" name="PivotTable1"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Supplier Name">
  <location ref="A7:R35" firstHeaderRow="1" firstDataRow="3" firstDataCol="1"/>
  <pivotFields count="10">
    <pivotField showAll="0"/>
    <pivotField showAll="0"/>
    <pivotField showAll="0"/>
    <pivotField numFmtId="14" showAll="0">
      <items count="348">
        <item x="12"/>
        <item x="333"/>
        <item x="126"/>
        <item x="270"/>
        <item x="61"/>
        <item x="199"/>
        <item x="232"/>
        <item x="201"/>
        <item x="245"/>
        <item x="68"/>
        <item x="264"/>
        <item x="90"/>
        <item x="307"/>
        <item x="53"/>
        <item x="122"/>
        <item x="27"/>
        <item x="101"/>
        <item x="135"/>
        <item x="138"/>
        <item x="132"/>
        <item x="309"/>
        <item x="82"/>
        <item x="142"/>
        <item x="41"/>
        <item x="263"/>
        <item x="196"/>
        <item x="266"/>
        <item x="99"/>
        <item x="334"/>
        <item x="217"/>
        <item x="321"/>
        <item x="119"/>
        <item x="316"/>
        <item x="178"/>
        <item x="38"/>
        <item x="310"/>
        <item x="149"/>
        <item x="28"/>
        <item x="235"/>
        <item x="159"/>
        <item x="72"/>
        <item x="168"/>
        <item x="187"/>
        <item x="66"/>
        <item x="33"/>
        <item x="281"/>
        <item x="325"/>
        <item x="197"/>
        <item x="191"/>
        <item x="127"/>
        <item x="226"/>
        <item x="206"/>
        <item x="317"/>
        <item x="39"/>
        <item x="75"/>
        <item x="304"/>
        <item x="7"/>
        <item x="341"/>
        <item x="121"/>
        <item x="86"/>
        <item x="96"/>
        <item x="203"/>
        <item x="194"/>
        <item x="279"/>
        <item x="262"/>
        <item x="314"/>
        <item x="177"/>
        <item x="91"/>
        <item x="60"/>
        <item x="151"/>
        <item x="346"/>
        <item x="154"/>
        <item x="152"/>
        <item x="246"/>
        <item x="130"/>
        <item x="315"/>
        <item x="166"/>
        <item x="253"/>
        <item x="169"/>
        <item x="229"/>
        <item x="240"/>
        <item x="16"/>
        <item x="293"/>
        <item x="324"/>
        <item x="202"/>
        <item x="64"/>
        <item x="98"/>
        <item x="216"/>
        <item x="104"/>
        <item x="32"/>
        <item x="345"/>
        <item x="24"/>
        <item x="287"/>
        <item x="228"/>
        <item x="329"/>
        <item x="208"/>
        <item x="181"/>
        <item x="136"/>
        <item x="233"/>
        <item x="192"/>
        <item x="30"/>
        <item x="300"/>
        <item x="183"/>
        <item x="5"/>
        <item x="328"/>
        <item x="256"/>
        <item x="44"/>
        <item x="241"/>
        <item x="272"/>
        <item x="167"/>
        <item x="207"/>
        <item x="170"/>
        <item x="13"/>
        <item x="171"/>
        <item x="280"/>
        <item x="83"/>
        <item x="283"/>
        <item x="153"/>
        <item x="288"/>
        <item x="0"/>
        <item x="109"/>
        <item x="230"/>
        <item x="85"/>
        <item x="37"/>
        <item x="276"/>
        <item x="223"/>
        <item x="2"/>
        <item x="165"/>
        <item x="54"/>
        <item x="213"/>
        <item x="155"/>
        <item x="298"/>
        <item x="172"/>
        <item x="84"/>
        <item x="145"/>
        <item x="43"/>
        <item x="19"/>
        <item x="20"/>
        <item x="50"/>
        <item x="184"/>
        <item x="340"/>
        <item x="292"/>
        <item x="234"/>
        <item x="180"/>
        <item x="295"/>
        <item x="339"/>
        <item x="42"/>
        <item x="211"/>
        <item x="107"/>
        <item x="285"/>
        <item x="243"/>
        <item x="274"/>
        <item x="335"/>
        <item x="286"/>
        <item x="176"/>
        <item x="29"/>
        <item x="94"/>
        <item x="237"/>
        <item x="185"/>
        <item x="214"/>
        <item x="69"/>
        <item x="289"/>
        <item x="89"/>
        <item x="308"/>
        <item x="252"/>
        <item x="236"/>
        <item x="297"/>
        <item x="65"/>
        <item x="57"/>
        <item x="250"/>
        <item x="338"/>
        <item x="58"/>
        <item x="70"/>
        <item x="322"/>
        <item x="56"/>
        <item x="220"/>
        <item x="115"/>
        <item x="204"/>
        <item x="100"/>
        <item x="190"/>
        <item x="95"/>
        <item x="200"/>
        <item x="9"/>
        <item x="210"/>
        <item x="303"/>
        <item x="112"/>
        <item x="221"/>
        <item x="74"/>
        <item x="173"/>
        <item x="102"/>
        <item x="306"/>
        <item x="22"/>
        <item x="77"/>
        <item x="175"/>
        <item x="162"/>
        <item x="269"/>
        <item x="284"/>
        <item x="182"/>
        <item x="141"/>
        <item x="164"/>
        <item x="193"/>
        <item x="62"/>
        <item x="273"/>
        <item x="117"/>
        <item x="231"/>
        <item x="174"/>
        <item x="25"/>
        <item x="267"/>
        <item x="1"/>
        <item x="11"/>
        <item x="14"/>
        <item x="51"/>
        <item x="125"/>
        <item x="195"/>
        <item x="320"/>
        <item x="23"/>
        <item x="239"/>
        <item x="160"/>
        <item x="259"/>
        <item x="35"/>
        <item x="337"/>
        <item x="312"/>
        <item x="144"/>
        <item x="103"/>
        <item x="150"/>
        <item x="225"/>
        <item x="81"/>
        <item x="10"/>
        <item x="260"/>
        <item x="4"/>
        <item x="59"/>
        <item x="343"/>
        <item x="311"/>
        <item x="265"/>
        <item x="17"/>
        <item x="301"/>
        <item x="258"/>
        <item x="88"/>
        <item x="209"/>
        <item x="222"/>
        <item x="215"/>
        <item x="332"/>
        <item x="45"/>
        <item x="40"/>
        <item x="147"/>
        <item x="108"/>
        <item x="124"/>
        <item x="331"/>
        <item x="146"/>
        <item x="63"/>
        <item x="342"/>
        <item x="131"/>
        <item x="26"/>
        <item x="97"/>
        <item x="198"/>
        <item x="179"/>
        <item x="48"/>
        <item x="278"/>
        <item x="79"/>
        <item x="244"/>
        <item x="52"/>
        <item x="219"/>
        <item x="249"/>
        <item x="18"/>
        <item x="137"/>
        <item x="123"/>
        <item x="140"/>
        <item x="294"/>
        <item x="76"/>
        <item x="255"/>
        <item x="186"/>
        <item x="73"/>
        <item x="319"/>
        <item x="36"/>
        <item x="318"/>
        <item x="254"/>
        <item x="92"/>
        <item x="163"/>
        <item x="118"/>
        <item x="247"/>
        <item x="15"/>
        <item x="344"/>
        <item x="290"/>
        <item x="34"/>
        <item x="205"/>
        <item x="224"/>
        <item x="134"/>
        <item x="143"/>
        <item x="49"/>
        <item x="129"/>
        <item x="47"/>
        <item x="46"/>
        <item x="330"/>
        <item x="67"/>
        <item x="158"/>
        <item x="139"/>
        <item x="261"/>
        <item x="114"/>
        <item x="291"/>
        <item x="78"/>
        <item x="218"/>
        <item x="212"/>
        <item x="55"/>
        <item x="31"/>
        <item x="87"/>
        <item x="238"/>
        <item x="105"/>
        <item x="93"/>
        <item x="271"/>
        <item x="161"/>
        <item x="242"/>
        <item x="111"/>
        <item x="106"/>
        <item x="277"/>
        <item x="268"/>
        <item x="120"/>
        <item x="296"/>
        <item x="71"/>
        <item x="275"/>
        <item x="133"/>
        <item x="336"/>
        <item x="188"/>
        <item x="189"/>
        <item x="323"/>
        <item x="282"/>
        <item x="148"/>
        <item x="305"/>
        <item x="80"/>
        <item x="8"/>
        <item x="326"/>
        <item x="21"/>
        <item x="113"/>
        <item x="227"/>
        <item x="248"/>
        <item x="157"/>
        <item x="302"/>
        <item x="313"/>
        <item x="257"/>
        <item x="6"/>
        <item x="110"/>
        <item x="156"/>
        <item x="116"/>
        <item x="3"/>
        <item x="327"/>
        <item x="128"/>
        <item x="299"/>
        <item x="251"/>
        <item t="default"/>
      </items>
    </pivotField>
    <pivotField showAll="0"/>
    <pivotField dataField="1" showAll="0"/>
    <pivotField showAll="0"/>
    <pivotField axis="axisRow" showAll="0" sortType="descending">
      <items count="26">
        <item x="12"/>
        <item x="16"/>
        <item x="9"/>
        <item x="10"/>
        <item x="17"/>
        <item x="1"/>
        <item x="24"/>
        <item x="18"/>
        <item x="6"/>
        <item x="20"/>
        <item x="8"/>
        <item x="3"/>
        <item x="2"/>
        <item x="22"/>
        <item x="21"/>
        <item x="23"/>
        <item x="14"/>
        <item x="7"/>
        <item x="4"/>
        <item x="13"/>
        <item x="5"/>
        <item x="19"/>
        <item x="15"/>
        <item x="11"/>
        <item x="0"/>
        <item t="default"/>
      </items>
      <autoSortScope>
        <pivotArea dataOnly="0" outline="0" fieldPosition="0">
          <references count="1">
            <reference field="4294967294" count="1" selected="0">
              <x v="0"/>
            </reference>
          </references>
        </pivotArea>
      </autoSortScope>
    </pivotField>
    <pivotField axis="axisCol" showAll="0">
      <items count="15">
        <item x="0"/>
        <item x="1"/>
        <item x="2"/>
        <item x="3"/>
        <item x="4"/>
        <item x="5"/>
        <item x="6"/>
        <item x="7"/>
        <item x="8"/>
        <item x="9"/>
        <item x="10"/>
        <item x="11"/>
        <item x="12"/>
        <item x="13"/>
        <item t="default"/>
      </items>
    </pivotField>
    <pivotField axis="axisCol" showAll="0">
      <items count="7">
        <item x="0"/>
        <item x="1"/>
        <item x="2"/>
        <item x="3"/>
        <item x="4"/>
        <item x="5"/>
        <item t="default"/>
      </items>
    </pivotField>
  </pivotFields>
  <rowFields count="1">
    <field x="7"/>
  </rowFields>
  <rowItems count="26">
    <i>
      <x v="5"/>
    </i>
    <i>
      <x v="22"/>
    </i>
    <i>
      <x v="17"/>
    </i>
    <i>
      <x v="15"/>
    </i>
    <i>
      <x v="18"/>
    </i>
    <i>
      <x v="10"/>
    </i>
    <i>
      <x v="3"/>
    </i>
    <i>
      <x v="16"/>
    </i>
    <i>
      <x v="20"/>
    </i>
    <i>
      <x v="7"/>
    </i>
    <i>
      <x v="14"/>
    </i>
    <i>
      <x v="8"/>
    </i>
    <i>
      <x v="23"/>
    </i>
    <i>
      <x/>
    </i>
    <i>
      <x v="1"/>
    </i>
    <i>
      <x v="4"/>
    </i>
    <i>
      <x v="9"/>
    </i>
    <i>
      <x v="13"/>
    </i>
    <i>
      <x v="11"/>
    </i>
    <i>
      <x v="19"/>
    </i>
    <i>
      <x v="6"/>
    </i>
    <i>
      <x v="24"/>
    </i>
    <i>
      <x v="2"/>
    </i>
    <i>
      <x v="21"/>
    </i>
    <i>
      <x v="12"/>
    </i>
    <i t="grand">
      <x/>
    </i>
  </rowItems>
  <colFields count="2">
    <field x="9"/>
    <field x="8"/>
  </colFields>
  <colItems count="17">
    <i>
      <x v="1"/>
      <x v="1"/>
    </i>
    <i r="1">
      <x v="2"/>
    </i>
    <i r="1">
      <x v="3"/>
    </i>
    <i t="default">
      <x v="1"/>
    </i>
    <i>
      <x v="2"/>
      <x v="4"/>
    </i>
    <i r="1">
      <x v="5"/>
    </i>
    <i r="1">
      <x v="6"/>
    </i>
    <i t="default">
      <x v="2"/>
    </i>
    <i>
      <x v="3"/>
      <x v="7"/>
    </i>
    <i r="1">
      <x v="8"/>
    </i>
    <i r="1">
      <x v="9"/>
    </i>
    <i t="default">
      <x v="3"/>
    </i>
    <i>
      <x v="4"/>
      <x v="10"/>
    </i>
    <i r="1">
      <x v="11"/>
    </i>
    <i r="1">
      <x v="12"/>
    </i>
    <i t="default">
      <x v="4"/>
    </i>
    <i t="grand">
      <x/>
    </i>
  </colItems>
  <dataFields count="1">
    <dataField name="Sum of Order Quantity" fld="5" baseField="0" baseItem="0"/>
  </dataFields>
  <formats count="4">
    <format dxfId="17">
      <pivotArea field="7" type="button" dataOnly="0" labelOnly="1" outline="0" axis="axisRow" fieldPosition="0"/>
    </format>
    <format dxfId="16">
      <pivotArea dataOnly="0" labelOnly="1" outline="0" axis="axisValues" fieldPosition="0"/>
    </format>
    <format dxfId="15">
      <pivotArea field="7" type="button" dataOnly="0" labelOnly="1" outline="0" axis="axisRow" fieldPosition="0"/>
    </format>
    <format dxfId="1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07BB158-3B0A-490F-A5A1-4FF003FC33BA}" name="PivotTable2" cacheId="2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B8:D25" firstHeaderRow="1" firstDataRow="1" firstDataCol="0"/>
  <pivotFields count="9">
    <pivotField compact="0" outline="0" showAll="0" defaultSubtotal="0"/>
    <pivotField compact="0" outline="0" showAll="0" defaultSubtota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formats count="4">
    <format dxfId="13">
      <pivotArea field="1" type="button" dataOnly="0" labelOnly="1" outline="0"/>
    </format>
    <format dxfId="12">
      <pivotArea field="1" type="button" dataOnly="0" labelOnly="1" outline="0"/>
    </format>
    <format dxfId="11">
      <pivotArea dataOnly="0" labelOnly="1" outline="0" axis="axisValues" fieldPosition="0"/>
    </format>
    <format dxfId="10">
      <pivotArea dataOnly="0" labelOnly="1" outline="0" axis="axisValues" fieldPosition="0"/>
    </format>
  </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589F45B-F92A-43E1-A338-7A0C74C1970C}" name="PivotTable2" cacheId="2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B8:D25" firstHeaderRow="1" firstDataRow="1" firstDataCol="0"/>
  <pivotFields count="9">
    <pivotField compact="0" outline="0" showAll="0" defaultSubtotal="0"/>
    <pivotField compact="0" outline="0" showAll="0" defaultSubtota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formats count="4">
    <format dxfId="9">
      <pivotArea field="1" type="button" dataOnly="0" labelOnly="1" outline="0"/>
    </format>
    <format dxfId="8">
      <pivotArea field="1" type="button" dataOnly="0" labelOnly="1" outline="0"/>
    </format>
    <format dxfId="7">
      <pivotArea dataOnly="0" labelOnly="1" outline="0" axis="axisValues" fieldPosition="0"/>
    </format>
    <format dxfId="6">
      <pivotArea dataOnly="0" labelOnly="1" outline="0" axis="axisValues" fieldPosition="0"/>
    </format>
  </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0CF7830-7C03-4679-8FE8-C107D2BB9E02}" name="PivotTable7"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0:C27" firstHeaderRow="1" firstDataRow="1" firstDataCol="0"/>
  <pivotFields count="9">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C4BA94E-74DE-4C56-9766-5AAE3D3D063E}" name="PivotTable8" cacheId="23"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3">
  <location ref="A5:A30" firstHeaderRow="1" firstDataRow="1" firstDataCol="1"/>
  <pivotFields count="5">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25">
        <item x="19"/>
        <item x="20"/>
        <item x="17"/>
        <item x="5"/>
        <item x="15"/>
        <item x="6"/>
        <item x="3"/>
        <item x="10"/>
        <item x="22"/>
        <item x="23"/>
        <item x="12"/>
        <item x="16"/>
        <item x="24"/>
        <item x="8"/>
        <item x="21"/>
        <item x="14"/>
        <item x="18"/>
        <item x="1"/>
        <item x="7"/>
        <item x="13"/>
        <item x="4"/>
        <item x="0"/>
        <item x="9"/>
        <item x="11"/>
        <item x="2"/>
      </items>
    </pivotField>
  </pivotFields>
  <rowFields count="1">
    <field x="4"/>
  </rowFields>
  <rowItems count="25">
    <i>
      <x/>
    </i>
    <i>
      <x v="1"/>
    </i>
    <i>
      <x v="2"/>
    </i>
    <i>
      <x v="3"/>
    </i>
    <i>
      <x v="4"/>
    </i>
    <i>
      <x v="5"/>
    </i>
    <i>
      <x v="6"/>
    </i>
    <i>
      <x v="7"/>
    </i>
    <i>
      <x v="8"/>
    </i>
    <i>
      <x v="9"/>
    </i>
    <i>
      <x v="10"/>
    </i>
    <i>
      <x v="11"/>
    </i>
    <i>
      <x v="12"/>
    </i>
    <i>
      <x v="13"/>
    </i>
    <i>
      <x v="14"/>
    </i>
    <i>
      <x v="15"/>
    </i>
    <i>
      <x v="16"/>
    </i>
    <i>
      <x v="17"/>
    </i>
    <i>
      <x v="18"/>
    </i>
    <i>
      <x v="19"/>
    </i>
    <i>
      <x v="20"/>
    </i>
    <i>
      <x v="21"/>
    </i>
    <i>
      <x v="22"/>
    </i>
    <i>
      <x v="23"/>
    </i>
    <i>
      <x v="24"/>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0B3E553-CF0A-4594-A5F2-4DDE4F9AE644}" name="PivotTable3" cacheId="2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5:B15" firstHeaderRow="1" firstDataRow="1" firstDataCol="2"/>
  <pivotFields count="9">
    <pivotField compact="0" outline="0" showAll="0" defaultSubtotal="0"/>
    <pivotField compact="0" outline="0" showAll="0" defaultSubtotal="0"/>
    <pivotField compact="0" outline="0" showAll="0" defaultSubtotal="0"/>
    <pivotField axis="axisRow" compact="0" outline="0" showAll="0" defaultSubtotal="0">
      <items count="9">
        <item x="3"/>
        <item x="5"/>
        <item x="1"/>
        <item x="7"/>
        <item x="6"/>
        <item x="0"/>
        <item x="4"/>
        <item x="2"/>
        <item x="8"/>
      </items>
    </pivotField>
    <pivotField compact="0" outline="0" subtotalTop="0" showAll="0" defaultSubtotal="0"/>
    <pivotField compact="0" outline="0" subtotalTop="0" showAll="0" defaultSubtotal="0"/>
    <pivotField compact="0" outline="0" subtotalTop="0" showAll="0" defaultSubtotal="0"/>
    <pivotField axis="axisRow" compact="0" outline="0" showAll="0" defaultSubtotal="0">
      <items count="9">
        <item x="2"/>
        <item x="5"/>
        <item x="7"/>
        <item x="0"/>
        <item x="3"/>
        <item x="1"/>
        <item x="6"/>
        <item x="4"/>
        <item x="8"/>
      </items>
    </pivotField>
    <pivotField compact="0" outline="0" subtotalTop="0" showAll="0" defaultSubtotal="0"/>
  </pivotFields>
  <rowFields count="2">
    <field x="3"/>
    <field x="7"/>
  </rowFields>
  <rowItems count="10">
    <i>
      <x/>
      <x v="4"/>
    </i>
    <i>
      <x v="1"/>
      <x v="1"/>
    </i>
    <i>
      <x v="2"/>
      <x v="5"/>
    </i>
    <i>
      <x v="3"/>
      <x v="2"/>
    </i>
    <i>
      <x v="4"/>
      <x v="6"/>
    </i>
    <i>
      <x v="5"/>
      <x v="3"/>
    </i>
    <i>
      <x v="6"/>
      <x v="7"/>
    </i>
    <i>
      <x v="7"/>
      <x/>
    </i>
    <i>
      <x v="8"/>
      <x v="8"/>
    </i>
    <i t="grand">
      <x/>
    </i>
  </rowItems>
  <colItems count="1">
    <i/>
  </colItems>
  <formats count="6">
    <format dxfId="5">
      <pivotArea field="3" type="button" dataOnly="0" labelOnly="1" outline="0" axis="axisRow" fieldPosition="1"/>
    </format>
    <format dxfId="4">
      <pivotArea field="7" type="button" dataOnly="0" labelOnly="1" outline="0" axis="axisRow" fieldPosition="2"/>
    </format>
    <format dxfId="3">
      <pivotArea dataOnly="0" labelOnly="1" outline="0" axis="axisValues" fieldPosition="0"/>
    </format>
    <format dxfId="2">
      <pivotArea field="3" type="button" dataOnly="0" labelOnly="1" outline="0" axis="axisRow" fieldPosition="1"/>
    </format>
    <format dxfId="1">
      <pivotArea field="7" type="button" dataOnly="0" labelOnly="1" outline="0" axis="axisRow" fieldPosition="2"/>
    </format>
    <format dxfId="0">
      <pivotArea dataOnly="0" labelOnly="1" outline="0" axis="axisValues" fieldPosition="0"/>
    </format>
  </formats>
  <pivotTableStyleInfo name="PivotStyleMedium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_Country" xr10:uid="{E25F4F57-C754-4C0A-A836-7FA6322D3300}" sourceName="Supplier Country">
  <pivotTables>
    <pivotTable tabId="15" name="PivotTable1"/>
  </pivotTables>
  <data>
    <tabular pivotCacheId="793830375">
      <items count="10">
        <i x="0" s="1"/>
        <i x="5" s="1"/>
        <i x="2" s="1"/>
        <i x="6" s="1"/>
        <i x="9" s="1"/>
        <i x="3" s="1"/>
        <i x="8" s="1"/>
        <i x="1" s="1"/>
        <i x="7"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pplier Country" xr10:uid="{131C2512-729F-49C1-845B-626B17BA1236}" cache="Slicer_Supplier_Country" caption="Supplier Country" columnCoun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A4A0FFC-5D65-4492-82E5-1D0113DC75C6}" name="Orders" displayName="Orders" ref="A1:F1001" totalsRowShown="0" headerRowBorderDxfId="45" tableBorderDxfId="44">
  <autoFilter ref="A1:F1001" xr:uid="{00000000-0001-0000-0000-000000000000}"/>
  <tableColumns count="6">
    <tableColumn id="1" xr3:uid="{E4DA38F0-9B82-4C1E-BDCB-1E278268C134}" name="Order ID"/>
    <tableColumn id="2" xr3:uid="{7FA2C508-EDEF-4226-9A25-81184D24F041}" name="Customer ID"/>
    <tableColumn id="3" xr3:uid="{4D70D803-D1F8-4F4A-8881-9DB0E35DEFAC}" name="SKU"/>
    <tableColumn id="4" xr3:uid="{776EC5AD-E18F-4CEB-89A3-1FCEF2EE6FB9}" name="Order Date" dataDxfId="43"/>
    <tableColumn id="6" xr3:uid="{461C9E52-E143-4E43-AE54-2F4B6F4463FE}" name="Order Quantity"/>
    <tableColumn id="8" xr3:uid="{DC9AF8E5-F90A-4709-8AC1-22797DB78978}" name="SKU Name" dataDxfId="4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0B1A548-882B-4E77-8B4E-87A6DC80699E}" name="Table28" displayName="Table28" ref="A1:H1001" totalsRowShown="0" headerRowBorderDxfId="41" tableBorderDxfId="40">
  <autoFilter ref="A1:H1001" xr:uid="{00000000-0001-0000-0000-000000000000}"/>
  <tableColumns count="8">
    <tableColumn id="1" xr3:uid="{26668011-D521-42E4-A61E-A27E46FB3918}" name="Order ID"/>
    <tableColumn id="2" xr3:uid="{AEDA8A9C-25DC-475F-8A39-9B22FA1BFFF5}" name="Customer ID"/>
    <tableColumn id="3" xr3:uid="{EDBF2B60-7F4E-4932-A044-3E3EA3165547}" name="SKU"/>
    <tableColumn id="4" xr3:uid="{ABEE15D8-60FD-46B1-856D-5077BC263B60}" name="Order Date" dataDxfId="39"/>
    <tableColumn id="5" xr3:uid="{4B26D799-A0EC-453C-A033-6CD41760FE41}" name="Supplier Country"/>
    <tableColumn id="6" xr3:uid="{E6C814DC-5BD5-473C-9D5C-67EECE6CCAD0}" name="Order Quantity"/>
    <tableColumn id="7" xr3:uid="{3C0C9583-DEC0-48C6-924F-AE64E6B9D103}" name="Column1" dataDxfId="38">
      <calculatedColumnFormula>VLOOKUP(Table28[[#This Row],[SKU]],Supplier_Products[[#All],[Supplier]:[SKU]],3,FALSE)</calculatedColumnFormula>
    </tableColumn>
    <tableColumn id="8" xr3:uid="{C6072658-8711-4DC3-AE4D-EDDF193B34C0}" name="Supplier Name" dataDxfId="37">
      <calculatedColumnFormula array="1">_xlfn.XLOOKUP(Table28[[#This Row],[SKU]],Supplier_Products[[#All],[SKU]],Supplier_Products[[#All],[Supplier]])</calculatedColumnFormula>
    </tableColum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79F287F-03E9-4A2C-93C1-AE3AF584979F}" name="Returns" displayName="Returns" ref="A1:H32" totalsRowShown="0" headerRowBorderDxfId="36" tableBorderDxfId="35">
  <autoFilter ref="A1:H32" xr:uid="{00000000-0001-0000-0000-000000000000}"/>
  <tableColumns count="8">
    <tableColumn id="1" xr3:uid="{792AA1BB-427A-4B1B-9C8B-75BE8FDB4993}" name="Order ID"/>
    <tableColumn id="10" xr3:uid="{EBE8FF6D-F797-4A65-B59B-A0A8C09F6D55}" name="Return Id"/>
    <tableColumn id="2" xr3:uid="{EB8EA5FB-4758-4C12-B0DD-70762CA032C4}" name="Customer ID"/>
    <tableColumn id="3" xr3:uid="{CB611E1D-F966-43EF-B8C5-50F121814330}" name="SKU"/>
    <tableColumn id="4" xr3:uid="{660D5B41-817A-484A-A5AB-9A276BA1EE6D}" name="Order Date" dataDxfId="34"/>
    <tableColumn id="6" xr3:uid="{2F655FB5-099E-4F79-BC07-6668DE50782A}" name="Return Qty"/>
    <tableColumn id="5" xr3:uid="{035F8F6C-4E04-4844-A100-78E5C85A1B16}" name="Column1"/>
    <tableColumn id="8" xr3:uid="{BC51AEBC-762A-426E-A260-20792C91539C}" name="SKU Name" dataDxfId="33"/>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53A560F-1CCE-4061-9506-54A3E069E26B}" name="Inventory" displayName="Inventory" ref="A1:F35" totalsRowShown="0" headerRowDxfId="32" headerRowBorderDxfId="31" tableBorderDxfId="30">
  <autoFilter ref="A1:F35" xr:uid="{F53A560F-1CCE-4061-9506-54A3E069E26B}"/>
  <tableColumns count="6">
    <tableColumn id="1" xr3:uid="{AA8E159C-D733-42E8-88C3-48BE97482AF4}" name="SKU"/>
    <tableColumn id="2" xr3:uid="{D82C8B98-6D4D-427F-A6E0-3AD16AF146E2}" name="Product Name"/>
    <tableColumn id="3" xr3:uid="{E629DFF7-A194-479F-9689-882F9D7E7CD8}" name="Category"/>
    <tableColumn id="7" xr3:uid="{3BBE973F-3321-48A5-9C40-A4E9D587A59E}" name="Supplier ID" dataDxfId="29"/>
    <tableColumn id="5" xr3:uid="{4D57C7BD-1C1C-4C72-A6B6-5D77AFCDA125}" name="Warehouse"/>
    <tableColumn id="6" xr3:uid="{43B36BB6-D748-4B62-A7A6-55EB5918A37F}" name="Available Stock"/>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360ECCF-829A-4713-9535-46287B98EF82}" name="Supplier_Info" displayName="Supplier_Info" ref="A1:E26" totalsRowShown="0" headerRowDxfId="28" headerRowBorderDxfId="27" tableBorderDxfId="26">
  <autoFilter ref="A1:E26" xr:uid="{7360ECCF-829A-4713-9535-46287B98EF82}"/>
  <tableColumns count="5">
    <tableColumn id="1" xr3:uid="{313338B9-9835-4817-966C-F8AFE53E8F68}" name="Supplier ID"/>
    <tableColumn id="2" xr3:uid="{DB8F9D7D-E409-4EC0-8FF3-70964FB4966D}" name="Supplier Name"/>
    <tableColumn id="3" xr3:uid="{086A1AB0-E0FE-43B7-804B-9D00723E9639}" name="Country"/>
    <tableColumn id="4" xr3:uid="{00F7C78A-EAE6-407B-81EF-ABDBF033E847}" name="Product Category"/>
    <tableColumn id="5" xr3:uid="{A29CA576-F33E-4FE1-83F6-BBD9046C1EEE}" name="Defect Rate (%)"/>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2339DF3-2330-41AD-93F6-4ADD076F837A}" name="Products" displayName="Products" ref="A1:C35" totalsRowShown="0">
  <autoFilter ref="A1:C35" xr:uid="{E2339DF3-2330-41AD-93F6-4ADD076F837A}"/>
  <tableColumns count="3">
    <tableColumn id="1" xr3:uid="{A097B25F-AD0D-46D2-98E2-118740E43C06}" name="Category"/>
    <tableColumn id="2" xr3:uid="{AE904357-02E9-4947-82C5-EC14267F43F7}" name="Product Name"/>
    <tableColumn id="3" xr3:uid="{1AF407D2-1900-4422-9855-CA38F5BE4B31}" name="SKU"/>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F21796B-77AC-4063-99F3-4DB7EA2455BB}" name="Supplier_Products" displayName="Supplier_Products" ref="A1:E35" totalsRowShown="0">
  <autoFilter ref="A1:E35" xr:uid="{0F21796B-77AC-4063-99F3-4DB7EA2455BB}"/>
  <tableColumns count="5">
    <tableColumn id="2" xr3:uid="{AF81EFB8-07D7-4A6E-8D24-705C148CA669}" name="Category"/>
    <tableColumn id="4" xr3:uid="{52CD4352-2B07-4A9B-AB05-6033B3F526E8}" name="Product Name"/>
    <tableColumn id="3" xr3:uid="{E181E7DB-A5EE-4D09-8798-68D517978C4A}" name="SKU"/>
    <tableColumn id="5" xr3:uid="{7C0A3A02-CBD9-4171-9C8D-C3027758D66C}" name="Supplier ID"/>
    <tableColumn id="1" xr3:uid="{EB797724-A11D-4518-A3A4-4954E14828DB}" name="Supplier"/>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E9AEB84-6494-4861-8896-BE4F29C51D1C}" name="Customers" displayName="Customers" ref="A1:I251" totalsRowShown="0" headerRowDxfId="48" headerRowBorderDxfId="47" tableBorderDxfId="46">
  <autoFilter ref="A1:I251" xr:uid="{00000000-0001-0000-0400-000000000000}"/>
  <tableColumns count="9">
    <tableColumn id="1" xr3:uid="{50F8CBCC-06A0-4177-86BB-D69332C0C200}" name="Customer ID"/>
    <tableColumn id="2" xr3:uid="{41DD6056-E33F-4371-80D1-8E8B3EF77524}" name="First Name"/>
    <tableColumn id="3" xr3:uid="{B6577DF2-9AC6-4214-8A65-D22A5D3139B7}" name="Last Name"/>
    <tableColumn id="4" xr3:uid="{C6121A6F-9774-4ADE-A592-DA353709B819}" name="Full Name"/>
    <tableColumn id="5" xr3:uid="{31046202-B5C5-495A-940C-E00402C6C26C}" name="Location"/>
    <tableColumn id="6" xr3:uid="{35C23F06-0C73-46C2-814B-2574E1EBE9C8}" name="Order Frequency"/>
    <tableColumn id="7" xr3:uid="{55622E6B-E297-40A1-91BC-238C585452C9}" name="Email"/>
    <tableColumn id="8" xr3:uid="{5B5284D8-D724-4154-8259-60C6DE22B55F}" name="Phone Number"/>
    <tableColumn id="9" xr3:uid="{21D9CF45-2C71-4DCB-830D-802FB87A3453}" name="Customer Segment"/>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1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1"/>
  <sheetViews>
    <sheetView zoomScale="130" zoomScaleNormal="130" workbookViewId="0">
      <selection activeCell="I7" sqref="I7"/>
    </sheetView>
  </sheetViews>
  <sheetFormatPr defaultRowHeight="14.4" x14ac:dyDescent="0.3"/>
  <cols>
    <col min="1" max="1" width="9" customWidth="1"/>
    <col min="2" max="2" width="12" customWidth="1"/>
    <col min="3" max="3" width="7" customWidth="1"/>
    <col min="4" max="4" width="24.88671875" style="5" customWidth="1"/>
    <col min="5" max="5" width="18.21875" bestFit="1" customWidth="1"/>
    <col min="6" max="6" width="12.88671875" bestFit="1" customWidth="1"/>
  </cols>
  <sheetData>
    <row r="1" spans="1:6" x14ac:dyDescent="0.3">
      <c r="A1" s="6" t="s">
        <v>0</v>
      </c>
      <c r="B1" s="7" t="s">
        <v>1</v>
      </c>
      <c r="C1" s="8" t="s">
        <v>2</v>
      </c>
      <c r="D1" s="9" t="s">
        <v>3</v>
      </c>
      <c r="E1" s="10" t="s">
        <v>5</v>
      </c>
      <c r="F1" s="12" t="s">
        <v>717</v>
      </c>
    </row>
    <row r="2" spans="1:6" x14ac:dyDescent="0.3">
      <c r="A2">
        <v>1001</v>
      </c>
      <c r="B2">
        <v>612</v>
      </c>
      <c r="C2" t="s">
        <v>8</v>
      </c>
      <c r="D2" s="5">
        <v>45418</v>
      </c>
      <c r="E2">
        <v>14</v>
      </c>
      <c r="F2" t="s">
        <v>42</v>
      </c>
    </row>
    <row r="3" spans="1:6" x14ac:dyDescent="0.3">
      <c r="A3">
        <v>1002</v>
      </c>
      <c r="B3">
        <v>516</v>
      </c>
      <c r="C3" t="s">
        <v>8</v>
      </c>
      <c r="D3" s="5">
        <v>45512</v>
      </c>
      <c r="E3">
        <v>19</v>
      </c>
      <c r="F3" t="s">
        <v>42</v>
      </c>
    </row>
    <row r="4" spans="1:6" x14ac:dyDescent="0.3">
      <c r="A4">
        <v>1003</v>
      </c>
      <c r="B4">
        <v>545</v>
      </c>
      <c r="C4" t="s">
        <v>156</v>
      </c>
      <c r="D4" s="5">
        <v>45426</v>
      </c>
      <c r="E4">
        <v>5</v>
      </c>
      <c r="F4" t="s">
        <v>112</v>
      </c>
    </row>
    <row r="5" spans="1:6" x14ac:dyDescent="0.3">
      <c r="A5">
        <v>1004</v>
      </c>
      <c r="B5">
        <v>544</v>
      </c>
      <c r="C5" t="s">
        <v>181</v>
      </c>
      <c r="D5" s="5">
        <v>45652</v>
      </c>
      <c r="E5">
        <v>7</v>
      </c>
      <c r="F5" t="s">
        <v>164</v>
      </c>
    </row>
    <row r="6" spans="1:6" x14ac:dyDescent="0.3">
      <c r="A6">
        <v>1005</v>
      </c>
      <c r="B6">
        <v>545</v>
      </c>
      <c r="C6" t="s">
        <v>158</v>
      </c>
      <c r="D6" s="5">
        <v>45533</v>
      </c>
      <c r="E6">
        <v>12</v>
      </c>
      <c r="F6" t="s">
        <v>112</v>
      </c>
    </row>
    <row r="7" spans="1:6" x14ac:dyDescent="0.3">
      <c r="A7">
        <v>1006</v>
      </c>
      <c r="B7">
        <v>594</v>
      </c>
      <c r="C7" t="s">
        <v>142</v>
      </c>
      <c r="D7" s="5">
        <v>45401</v>
      </c>
      <c r="E7">
        <v>12</v>
      </c>
      <c r="F7" t="s">
        <v>43</v>
      </c>
    </row>
    <row r="8" spans="1:6" x14ac:dyDescent="0.3">
      <c r="A8">
        <v>1007</v>
      </c>
      <c r="B8">
        <v>661</v>
      </c>
      <c r="C8" t="s">
        <v>140</v>
      </c>
      <c r="D8" s="5">
        <v>45648</v>
      </c>
      <c r="E8">
        <v>2</v>
      </c>
      <c r="F8" t="s">
        <v>41</v>
      </c>
    </row>
    <row r="9" spans="1:6" x14ac:dyDescent="0.3">
      <c r="A9">
        <v>1008</v>
      </c>
      <c r="B9">
        <v>726</v>
      </c>
      <c r="C9" t="s">
        <v>10</v>
      </c>
      <c r="D9" s="5">
        <v>45351</v>
      </c>
      <c r="E9">
        <v>8</v>
      </c>
      <c r="F9" t="s">
        <v>44</v>
      </c>
    </row>
    <row r="10" spans="1:6" x14ac:dyDescent="0.3">
      <c r="A10">
        <v>1009</v>
      </c>
      <c r="B10">
        <v>506</v>
      </c>
      <c r="C10" t="s">
        <v>175</v>
      </c>
      <c r="D10" s="5">
        <v>45638</v>
      </c>
      <c r="E10">
        <v>6</v>
      </c>
      <c r="F10" t="s">
        <v>105</v>
      </c>
    </row>
    <row r="11" spans="1:6" x14ac:dyDescent="0.3">
      <c r="A11">
        <v>1010</v>
      </c>
      <c r="B11">
        <v>693</v>
      </c>
      <c r="C11" t="s">
        <v>72</v>
      </c>
      <c r="D11" s="5">
        <v>45485</v>
      </c>
      <c r="E11">
        <v>7</v>
      </c>
      <c r="F11" t="s">
        <v>41</v>
      </c>
    </row>
    <row r="12" spans="1:6" x14ac:dyDescent="0.3">
      <c r="A12">
        <v>1011</v>
      </c>
      <c r="B12">
        <v>522</v>
      </c>
      <c r="C12" t="s">
        <v>72</v>
      </c>
      <c r="D12" s="5">
        <v>45531</v>
      </c>
      <c r="E12">
        <v>18</v>
      </c>
      <c r="F12" t="s">
        <v>41</v>
      </c>
    </row>
    <row r="13" spans="1:6" x14ac:dyDescent="0.3">
      <c r="A13">
        <v>1012</v>
      </c>
      <c r="B13">
        <v>633</v>
      </c>
      <c r="C13" t="s">
        <v>160</v>
      </c>
      <c r="D13" s="5">
        <v>45513</v>
      </c>
      <c r="E13">
        <v>20</v>
      </c>
      <c r="F13" t="s">
        <v>41</v>
      </c>
    </row>
    <row r="14" spans="1:6" x14ac:dyDescent="0.3">
      <c r="A14">
        <v>1013</v>
      </c>
      <c r="B14">
        <v>610</v>
      </c>
      <c r="C14" t="s">
        <v>73</v>
      </c>
      <c r="D14" s="5">
        <v>45293</v>
      </c>
      <c r="E14">
        <v>1</v>
      </c>
      <c r="F14" t="s">
        <v>105</v>
      </c>
    </row>
    <row r="15" spans="1:6" x14ac:dyDescent="0.3">
      <c r="A15">
        <v>1014</v>
      </c>
      <c r="B15">
        <v>703</v>
      </c>
      <c r="C15" t="s">
        <v>126</v>
      </c>
      <c r="D15" s="5">
        <v>45411</v>
      </c>
      <c r="E15">
        <v>15</v>
      </c>
      <c r="F15" t="s">
        <v>42</v>
      </c>
    </row>
    <row r="16" spans="1:6" x14ac:dyDescent="0.3">
      <c r="A16">
        <v>1015</v>
      </c>
      <c r="B16">
        <v>546</v>
      </c>
      <c r="C16" t="s">
        <v>160</v>
      </c>
      <c r="D16" s="5">
        <v>45514</v>
      </c>
      <c r="E16">
        <v>3</v>
      </c>
      <c r="F16" t="s">
        <v>41</v>
      </c>
    </row>
    <row r="17" spans="1:6" x14ac:dyDescent="0.3">
      <c r="A17">
        <v>1016</v>
      </c>
      <c r="B17">
        <v>667</v>
      </c>
      <c r="C17" t="s">
        <v>145</v>
      </c>
      <c r="D17" s="5">
        <v>45587</v>
      </c>
      <c r="E17">
        <v>15</v>
      </c>
      <c r="F17" t="s">
        <v>135</v>
      </c>
    </row>
    <row r="18" spans="1:6" x14ac:dyDescent="0.3">
      <c r="A18">
        <v>1017</v>
      </c>
      <c r="B18">
        <v>647</v>
      </c>
      <c r="C18" t="s">
        <v>160</v>
      </c>
      <c r="D18" s="5">
        <v>45378</v>
      </c>
      <c r="E18">
        <v>19</v>
      </c>
      <c r="F18" t="s">
        <v>41</v>
      </c>
    </row>
    <row r="19" spans="1:6" x14ac:dyDescent="0.3">
      <c r="A19">
        <v>1018</v>
      </c>
      <c r="B19">
        <v>739</v>
      </c>
      <c r="C19" t="s">
        <v>11</v>
      </c>
      <c r="D19" s="5">
        <v>45538</v>
      </c>
      <c r="E19">
        <v>5</v>
      </c>
      <c r="F19" t="s">
        <v>105</v>
      </c>
    </row>
    <row r="20" spans="1:6" x14ac:dyDescent="0.3">
      <c r="A20">
        <v>1019</v>
      </c>
      <c r="B20">
        <v>616</v>
      </c>
      <c r="C20" t="s">
        <v>7</v>
      </c>
      <c r="D20" s="5">
        <v>45570</v>
      </c>
      <c r="E20">
        <v>5</v>
      </c>
      <c r="F20" t="s">
        <v>41</v>
      </c>
    </row>
    <row r="21" spans="1:6" x14ac:dyDescent="0.3">
      <c r="A21">
        <v>1020</v>
      </c>
      <c r="B21">
        <v>561</v>
      </c>
      <c r="C21" t="s">
        <v>123</v>
      </c>
      <c r="D21" s="5">
        <v>45437</v>
      </c>
      <c r="E21">
        <v>5</v>
      </c>
      <c r="F21" t="s">
        <v>112</v>
      </c>
    </row>
    <row r="22" spans="1:6" x14ac:dyDescent="0.3">
      <c r="A22">
        <v>1021</v>
      </c>
      <c r="B22">
        <v>601</v>
      </c>
      <c r="C22" t="s">
        <v>162</v>
      </c>
      <c r="D22" s="5">
        <v>45438</v>
      </c>
      <c r="E22">
        <v>12</v>
      </c>
      <c r="F22" t="s">
        <v>164</v>
      </c>
    </row>
    <row r="23" spans="1:6" x14ac:dyDescent="0.3">
      <c r="A23">
        <v>1022</v>
      </c>
      <c r="B23">
        <v>527</v>
      </c>
      <c r="C23" t="s">
        <v>129</v>
      </c>
      <c r="D23" s="5">
        <v>45640</v>
      </c>
      <c r="E23">
        <v>20</v>
      </c>
      <c r="F23" t="s">
        <v>131</v>
      </c>
    </row>
    <row r="24" spans="1:6" x14ac:dyDescent="0.3">
      <c r="A24">
        <v>1023</v>
      </c>
      <c r="B24">
        <v>649</v>
      </c>
      <c r="C24" t="s">
        <v>148</v>
      </c>
      <c r="D24" s="5">
        <v>45494</v>
      </c>
      <c r="E24">
        <v>18</v>
      </c>
      <c r="F24" t="s">
        <v>105</v>
      </c>
    </row>
    <row r="25" spans="1:6" x14ac:dyDescent="0.3">
      <c r="A25">
        <v>1024</v>
      </c>
      <c r="B25">
        <v>583</v>
      </c>
      <c r="C25" t="s">
        <v>126</v>
      </c>
      <c r="D25" s="5">
        <v>45519</v>
      </c>
      <c r="E25">
        <v>8</v>
      </c>
      <c r="F25" t="s">
        <v>42</v>
      </c>
    </row>
    <row r="26" spans="1:6" x14ac:dyDescent="0.3">
      <c r="A26">
        <v>1025</v>
      </c>
      <c r="B26">
        <v>713</v>
      </c>
      <c r="C26" t="s">
        <v>142</v>
      </c>
      <c r="D26" s="5">
        <v>45389</v>
      </c>
      <c r="E26">
        <v>2</v>
      </c>
      <c r="F26" t="s">
        <v>43</v>
      </c>
    </row>
    <row r="27" spans="1:6" x14ac:dyDescent="0.3">
      <c r="A27">
        <v>1026</v>
      </c>
      <c r="B27">
        <v>549</v>
      </c>
      <c r="C27" t="s">
        <v>7</v>
      </c>
      <c r="D27" s="5">
        <v>45510</v>
      </c>
      <c r="E27">
        <v>6</v>
      </c>
      <c r="F27" t="s">
        <v>41</v>
      </c>
    </row>
    <row r="28" spans="1:6" x14ac:dyDescent="0.3">
      <c r="A28">
        <v>1027</v>
      </c>
      <c r="B28">
        <v>544</v>
      </c>
      <c r="C28" t="s">
        <v>123</v>
      </c>
      <c r="D28" s="5">
        <v>45557</v>
      </c>
      <c r="E28">
        <v>16</v>
      </c>
      <c r="F28" t="s">
        <v>112</v>
      </c>
    </row>
    <row r="29" spans="1:6" x14ac:dyDescent="0.3">
      <c r="A29">
        <v>1028</v>
      </c>
      <c r="B29">
        <v>636</v>
      </c>
      <c r="C29" t="s">
        <v>154</v>
      </c>
      <c r="D29" s="5">
        <v>45309</v>
      </c>
      <c r="E29">
        <v>5</v>
      </c>
      <c r="F29" t="s">
        <v>152</v>
      </c>
    </row>
    <row r="30" spans="1:6" x14ac:dyDescent="0.3">
      <c r="A30">
        <v>1029</v>
      </c>
      <c r="B30">
        <v>577</v>
      </c>
      <c r="C30" t="s">
        <v>181</v>
      </c>
      <c r="D30" s="5">
        <v>45426</v>
      </c>
      <c r="E30">
        <v>14</v>
      </c>
      <c r="F30" t="s">
        <v>164</v>
      </c>
    </row>
    <row r="31" spans="1:6" x14ac:dyDescent="0.3">
      <c r="A31">
        <v>1030</v>
      </c>
      <c r="B31">
        <v>615</v>
      </c>
      <c r="C31" t="s">
        <v>10</v>
      </c>
      <c r="D31" s="5">
        <v>45331</v>
      </c>
      <c r="E31">
        <v>20</v>
      </c>
      <c r="F31" t="s">
        <v>44</v>
      </c>
    </row>
    <row r="32" spans="1:6" x14ac:dyDescent="0.3">
      <c r="A32">
        <v>1031</v>
      </c>
      <c r="B32">
        <v>637</v>
      </c>
      <c r="C32" t="s">
        <v>184</v>
      </c>
      <c r="D32" s="5">
        <v>45456</v>
      </c>
      <c r="E32">
        <v>6</v>
      </c>
      <c r="F32" t="s">
        <v>131</v>
      </c>
    </row>
    <row r="33" spans="1:6" x14ac:dyDescent="0.3">
      <c r="A33">
        <v>1032</v>
      </c>
      <c r="B33">
        <v>524</v>
      </c>
      <c r="C33" t="s">
        <v>166</v>
      </c>
      <c r="D33" s="5">
        <v>45398</v>
      </c>
      <c r="E33">
        <v>17</v>
      </c>
      <c r="F33" t="s">
        <v>40</v>
      </c>
    </row>
    <row r="34" spans="1:6" x14ac:dyDescent="0.3">
      <c r="A34">
        <v>1033</v>
      </c>
      <c r="B34">
        <v>700</v>
      </c>
      <c r="C34" t="s">
        <v>72</v>
      </c>
      <c r="D34" s="5">
        <v>45612</v>
      </c>
      <c r="E34">
        <v>12</v>
      </c>
      <c r="F34" t="s">
        <v>41</v>
      </c>
    </row>
    <row r="35" spans="1:6" x14ac:dyDescent="0.3">
      <c r="A35">
        <v>1034</v>
      </c>
      <c r="B35">
        <v>722</v>
      </c>
      <c r="C35" t="s">
        <v>158</v>
      </c>
      <c r="D35" s="5">
        <v>45387</v>
      </c>
      <c r="E35">
        <v>15</v>
      </c>
      <c r="F35" t="s">
        <v>112</v>
      </c>
    </row>
    <row r="36" spans="1:6" x14ac:dyDescent="0.3">
      <c r="A36">
        <v>1035</v>
      </c>
      <c r="B36">
        <v>689</v>
      </c>
      <c r="C36" t="s">
        <v>140</v>
      </c>
      <c r="D36" s="5">
        <v>45339</v>
      </c>
      <c r="E36">
        <v>8</v>
      </c>
      <c r="F36" t="s">
        <v>41</v>
      </c>
    </row>
    <row r="37" spans="1:6" x14ac:dyDescent="0.3">
      <c r="A37">
        <v>1036</v>
      </c>
      <c r="B37">
        <v>638</v>
      </c>
      <c r="C37" t="s">
        <v>137</v>
      </c>
      <c r="D37" s="5">
        <v>45590</v>
      </c>
      <c r="E37">
        <v>14</v>
      </c>
      <c r="F37" t="s">
        <v>135</v>
      </c>
    </row>
    <row r="38" spans="1:6" x14ac:dyDescent="0.3">
      <c r="A38">
        <v>1037</v>
      </c>
      <c r="B38">
        <v>528</v>
      </c>
      <c r="C38" t="s">
        <v>158</v>
      </c>
      <c r="D38" s="5">
        <v>45523</v>
      </c>
      <c r="E38">
        <v>17</v>
      </c>
      <c r="F38" t="s">
        <v>112</v>
      </c>
    </row>
    <row r="39" spans="1:6" x14ac:dyDescent="0.3">
      <c r="A39">
        <v>1038</v>
      </c>
      <c r="B39">
        <v>638</v>
      </c>
      <c r="C39" t="s">
        <v>158</v>
      </c>
      <c r="D39" s="5">
        <v>45652</v>
      </c>
      <c r="E39">
        <v>6</v>
      </c>
      <c r="F39" t="s">
        <v>112</v>
      </c>
    </row>
    <row r="40" spans="1:6" x14ac:dyDescent="0.3">
      <c r="A40">
        <v>1039</v>
      </c>
      <c r="B40">
        <v>634</v>
      </c>
      <c r="C40" t="s">
        <v>117</v>
      </c>
      <c r="D40" s="5">
        <v>45580</v>
      </c>
      <c r="E40">
        <v>19</v>
      </c>
      <c r="F40" t="s">
        <v>119</v>
      </c>
    </row>
    <row r="41" spans="1:6" x14ac:dyDescent="0.3">
      <c r="A41">
        <v>1040</v>
      </c>
      <c r="B41">
        <v>733</v>
      </c>
      <c r="C41" t="s">
        <v>156</v>
      </c>
      <c r="D41" s="5">
        <v>45423</v>
      </c>
      <c r="E41">
        <v>10</v>
      </c>
      <c r="F41" t="s">
        <v>112</v>
      </c>
    </row>
    <row r="42" spans="1:6" x14ac:dyDescent="0.3">
      <c r="A42">
        <v>1041</v>
      </c>
      <c r="B42">
        <v>739</v>
      </c>
      <c r="C42" t="s">
        <v>72</v>
      </c>
      <c r="D42" s="5">
        <v>45328</v>
      </c>
      <c r="E42">
        <v>13</v>
      </c>
      <c r="F42" t="s">
        <v>41</v>
      </c>
    </row>
    <row r="43" spans="1:6" x14ac:dyDescent="0.3">
      <c r="A43">
        <v>1042</v>
      </c>
      <c r="B43">
        <v>566</v>
      </c>
      <c r="C43" t="s">
        <v>73</v>
      </c>
      <c r="D43" s="5">
        <v>45348</v>
      </c>
      <c r="E43">
        <v>8</v>
      </c>
      <c r="F43" t="s">
        <v>105</v>
      </c>
    </row>
    <row r="44" spans="1:6" x14ac:dyDescent="0.3">
      <c r="A44">
        <v>1043</v>
      </c>
      <c r="B44">
        <v>571</v>
      </c>
      <c r="C44" t="s">
        <v>162</v>
      </c>
      <c r="D44" s="5">
        <v>45548</v>
      </c>
      <c r="E44">
        <v>18</v>
      </c>
      <c r="F44" t="s">
        <v>164</v>
      </c>
    </row>
    <row r="45" spans="1:6" x14ac:dyDescent="0.3">
      <c r="A45">
        <v>1044</v>
      </c>
      <c r="B45">
        <v>696</v>
      </c>
      <c r="C45" t="s">
        <v>154</v>
      </c>
      <c r="D45" s="5">
        <v>45652</v>
      </c>
      <c r="E45">
        <v>14</v>
      </c>
      <c r="F45" t="s">
        <v>152</v>
      </c>
    </row>
    <row r="46" spans="1:6" x14ac:dyDescent="0.3">
      <c r="A46">
        <v>1045</v>
      </c>
      <c r="B46">
        <v>521</v>
      </c>
      <c r="C46" t="s">
        <v>175</v>
      </c>
      <c r="D46" s="5">
        <v>45317</v>
      </c>
      <c r="E46">
        <v>5</v>
      </c>
      <c r="F46" t="s">
        <v>105</v>
      </c>
    </row>
    <row r="47" spans="1:6" x14ac:dyDescent="0.3">
      <c r="A47">
        <v>1046</v>
      </c>
      <c r="B47">
        <v>514</v>
      </c>
      <c r="C47" t="s">
        <v>154</v>
      </c>
      <c r="D47" s="5">
        <v>45447</v>
      </c>
      <c r="E47">
        <v>14</v>
      </c>
      <c r="F47" t="s">
        <v>152</v>
      </c>
    </row>
    <row r="48" spans="1:6" x14ac:dyDescent="0.3">
      <c r="A48">
        <v>1047</v>
      </c>
      <c r="B48">
        <v>572</v>
      </c>
      <c r="C48" t="s">
        <v>117</v>
      </c>
      <c r="D48" s="5">
        <v>45436</v>
      </c>
      <c r="E48">
        <v>15</v>
      </c>
      <c r="F48" t="s">
        <v>119</v>
      </c>
    </row>
    <row r="49" spans="1:6" x14ac:dyDescent="0.3">
      <c r="A49">
        <v>1048</v>
      </c>
      <c r="B49">
        <v>725</v>
      </c>
      <c r="C49" t="s">
        <v>117</v>
      </c>
      <c r="D49" s="5">
        <v>45404</v>
      </c>
      <c r="E49">
        <v>18</v>
      </c>
      <c r="F49" t="s">
        <v>119</v>
      </c>
    </row>
    <row r="50" spans="1:6" x14ac:dyDescent="0.3">
      <c r="A50">
        <v>1049</v>
      </c>
      <c r="B50">
        <v>564</v>
      </c>
      <c r="C50" t="s">
        <v>6</v>
      </c>
      <c r="D50" s="5">
        <v>45547</v>
      </c>
      <c r="E50">
        <v>9</v>
      </c>
      <c r="F50" t="s">
        <v>40</v>
      </c>
    </row>
    <row r="51" spans="1:6" x14ac:dyDescent="0.3">
      <c r="A51">
        <v>1050</v>
      </c>
      <c r="B51">
        <v>530</v>
      </c>
      <c r="C51" t="s">
        <v>178</v>
      </c>
      <c r="D51" s="5">
        <v>45598</v>
      </c>
      <c r="E51">
        <v>18</v>
      </c>
      <c r="F51" t="s">
        <v>105</v>
      </c>
    </row>
    <row r="52" spans="1:6" x14ac:dyDescent="0.3">
      <c r="A52">
        <v>1051</v>
      </c>
      <c r="B52">
        <v>606</v>
      </c>
      <c r="C52" t="s">
        <v>7</v>
      </c>
      <c r="D52" s="5">
        <v>45597</v>
      </c>
      <c r="E52">
        <v>10</v>
      </c>
      <c r="F52" t="s">
        <v>41</v>
      </c>
    </row>
    <row r="53" spans="1:6" x14ac:dyDescent="0.3">
      <c r="A53">
        <v>1052</v>
      </c>
      <c r="B53">
        <v>563</v>
      </c>
      <c r="C53" t="s">
        <v>150</v>
      </c>
      <c r="D53" s="5">
        <v>45562</v>
      </c>
      <c r="E53">
        <v>1</v>
      </c>
      <c r="F53" t="s">
        <v>152</v>
      </c>
    </row>
    <row r="54" spans="1:6" x14ac:dyDescent="0.3">
      <c r="A54">
        <v>1053</v>
      </c>
      <c r="B54">
        <v>633</v>
      </c>
      <c r="C54" t="s">
        <v>11</v>
      </c>
      <c r="D54" s="5">
        <v>45595</v>
      </c>
      <c r="E54">
        <v>7</v>
      </c>
      <c r="F54" t="s">
        <v>105</v>
      </c>
    </row>
    <row r="55" spans="1:6" x14ac:dyDescent="0.3">
      <c r="A55">
        <v>1054</v>
      </c>
      <c r="B55">
        <v>708</v>
      </c>
      <c r="C55" t="s">
        <v>137</v>
      </c>
      <c r="D55" s="5">
        <v>45439</v>
      </c>
      <c r="E55">
        <v>7</v>
      </c>
      <c r="F55" t="s">
        <v>135</v>
      </c>
    </row>
    <row r="56" spans="1:6" x14ac:dyDescent="0.3">
      <c r="A56">
        <v>1055</v>
      </c>
      <c r="B56">
        <v>733</v>
      </c>
      <c r="C56" t="s">
        <v>11</v>
      </c>
      <c r="D56" s="5">
        <v>45515</v>
      </c>
      <c r="E56">
        <v>16</v>
      </c>
      <c r="F56" t="s">
        <v>105</v>
      </c>
    </row>
    <row r="57" spans="1:6" x14ac:dyDescent="0.3">
      <c r="A57">
        <v>1056</v>
      </c>
      <c r="B57">
        <v>543</v>
      </c>
      <c r="C57" t="s">
        <v>169</v>
      </c>
      <c r="D57" s="5">
        <v>45566</v>
      </c>
      <c r="E57">
        <v>4</v>
      </c>
      <c r="F57" t="s">
        <v>171</v>
      </c>
    </row>
    <row r="58" spans="1:6" x14ac:dyDescent="0.3">
      <c r="A58">
        <v>1057</v>
      </c>
      <c r="B58">
        <v>673</v>
      </c>
      <c r="C58" t="s">
        <v>110</v>
      </c>
      <c r="D58" s="5">
        <v>45307</v>
      </c>
      <c r="E58">
        <v>13</v>
      </c>
      <c r="F58" t="s">
        <v>112</v>
      </c>
    </row>
    <row r="59" spans="1:6" x14ac:dyDescent="0.3">
      <c r="A59">
        <v>1058</v>
      </c>
      <c r="B59">
        <v>632</v>
      </c>
      <c r="C59" t="s">
        <v>173</v>
      </c>
      <c r="D59" s="5">
        <v>45426</v>
      </c>
      <c r="E59">
        <v>1</v>
      </c>
      <c r="F59" t="s">
        <v>135</v>
      </c>
    </row>
    <row r="60" spans="1:6" x14ac:dyDescent="0.3">
      <c r="A60">
        <v>1059</v>
      </c>
      <c r="B60">
        <v>534</v>
      </c>
      <c r="C60" t="s">
        <v>11</v>
      </c>
      <c r="D60" s="5">
        <v>45428</v>
      </c>
      <c r="E60">
        <v>3</v>
      </c>
      <c r="F60" t="s">
        <v>105</v>
      </c>
    </row>
    <row r="61" spans="1:6" x14ac:dyDescent="0.3">
      <c r="A61">
        <v>1060</v>
      </c>
      <c r="B61">
        <v>683</v>
      </c>
      <c r="C61" t="s">
        <v>8</v>
      </c>
      <c r="D61" s="5">
        <v>45611</v>
      </c>
      <c r="E61">
        <v>19</v>
      </c>
      <c r="F61" t="s">
        <v>42</v>
      </c>
    </row>
    <row r="62" spans="1:6" x14ac:dyDescent="0.3">
      <c r="A62">
        <v>1061</v>
      </c>
      <c r="B62">
        <v>599</v>
      </c>
      <c r="C62" t="s">
        <v>156</v>
      </c>
      <c r="D62" s="5">
        <v>45476</v>
      </c>
      <c r="E62">
        <v>4</v>
      </c>
      <c r="F62" t="s">
        <v>112</v>
      </c>
    </row>
    <row r="63" spans="1:6" x14ac:dyDescent="0.3">
      <c r="A63">
        <v>1062</v>
      </c>
      <c r="B63">
        <v>541</v>
      </c>
      <c r="C63" t="s">
        <v>162</v>
      </c>
      <c r="D63" s="5">
        <v>45470</v>
      </c>
      <c r="E63">
        <v>12</v>
      </c>
      <c r="F63" t="s">
        <v>164</v>
      </c>
    </row>
    <row r="64" spans="1:6" x14ac:dyDescent="0.3">
      <c r="A64">
        <v>1063</v>
      </c>
      <c r="B64">
        <v>558</v>
      </c>
      <c r="C64" t="s">
        <v>154</v>
      </c>
      <c r="D64" s="5">
        <v>45473</v>
      </c>
      <c r="E64">
        <v>1</v>
      </c>
      <c r="F64" t="s">
        <v>152</v>
      </c>
    </row>
    <row r="65" spans="1:6" x14ac:dyDescent="0.3">
      <c r="A65">
        <v>1064</v>
      </c>
      <c r="B65">
        <v>656</v>
      </c>
      <c r="C65" t="s">
        <v>121</v>
      </c>
      <c r="D65" s="5">
        <v>45534</v>
      </c>
      <c r="E65">
        <v>18</v>
      </c>
      <c r="F65" t="s">
        <v>105</v>
      </c>
    </row>
    <row r="66" spans="1:6" x14ac:dyDescent="0.3">
      <c r="A66">
        <v>1065</v>
      </c>
      <c r="B66">
        <v>697</v>
      </c>
      <c r="C66" t="s">
        <v>9</v>
      </c>
      <c r="D66" s="5">
        <v>45378</v>
      </c>
      <c r="E66">
        <v>6</v>
      </c>
      <c r="F66" t="s">
        <v>43</v>
      </c>
    </row>
    <row r="67" spans="1:6" x14ac:dyDescent="0.3">
      <c r="A67">
        <v>1066</v>
      </c>
      <c r="B67">
        <v>726</v>
      </c>
      <c r="C67" t="s">
        <v>133</v>
      </c>
      <c r="D67" s="5">
        <v>45364</v>
      </c>
      <c r="E67">
        <v>11</v>
      </c>
      <c r="F67" t="s">
        <v>135</v>
      </c>
    </row>
    <row r="68" spans="1:6" x14ac:dyDescent="0.3">
      <c r="A68">
        <v>1067</v>
      </c>
      <c r="B68">
        <v>581</v>
      </c>
      <c r="C68" t="s">
        <v>160</v>
      </c>
      <c r="D68" s="5">
        <v>45640</v>
      </c>
      <c r="E68">
        <v>9</v>
      </c>
      <c r="F68" t="s">
        <v>41</v>
      </c>
    </row>
    <row r="69" spans="1:6" x14ac:dyDescent="0.3">
      <c r="A69">
        <v>1068</v>
      </c>
      <c r="B69">
        <v>717</v>
      </c>
      <c r="C69" t="s">
        <v>142</v>
      </c>
      <c r="D69" s="5">
        <v>45297</v>
      </c>
      <c r="E69">
        <v>13</v>
      </c>
      <c r="F69" t="s">
        <v>43</v>
      </c>
    </row>
    <row r="70" spans="1:6" x14ac:dyDescent="0.3">
      <c r="A70">
        <v>1069</v>
      </c>
      <c r="B70">
        <v>596</v>
      </c>
      <c r="C70" t="s">
        <v>114</v>
      </c>
      <c r="D70" s="5">
        <v>45504</v>
      </c>
      <c r="E70">
        <v>8</v>
      </c>
      <c r="F70" t="s">
        <v>40</v>
      </c>
    </row>
    <row r="71" spans="1:6" x14ac:dyDescent="0.3">
      <c r="A71">
        <v>1070</v>
      </c>
      <c r="B71">
        <v>739</v>
      </c>
      <c r="C71" t="s">
        <v>184</v>
      </c>
      <c r="D71" s="5">
        <v>45554</v>
      </c>
      <c r="E71">
        <v>14</v>
      </c>
      <c r="F71" t="s">
        <v>131</v>
      </c>
    </row>
    <row r="72" spans="1:6" x14ac:dyDescent="0.3">
      <c r="A72">
        <v>1071</v>
      </c>
      <c r="B72">
        <v>589</v>
      </c>
      <c r="C72" t="s">
        <v>129</v>
      </c>
      <c r="D72" s="5">
        <v>45382</v>
      </c>
      <c r="E72">
        <v>12</v>
      </c>
      <c r="F72" t="s">
        <v>131</v>
      </c>
    </row>
    <row r="73" spans="1:6" x14ac:dyDescent="0.3">
      <c r="A73">
        <v>1072</v>
      </c>
      <c r="B73">
        <v>507</v>
      </c>
      <c r="C73" t="s">
        <v>150</v>
      </c>
      <c r="D73" s="5">
        <v>45547</v>
      </c>
      <c r="E73">
        <v>12</v>
      </c>
      <c r="F73" t="s">
        <v>152</v>
      </c>
    </row>
    <row r="74" spans="1:6" x14ac:dyDescent="0.3">
      <c r="A74">
        <v>1073</v>
      </c>
      <c r="B74">
        <v>603</v>
      </c>
      <c r="C74" t="s">
        <v>184</v>
      </c>
      <c r="D74" s="5">
        <v>45378</v>
      </c>
      <c r="E74">
        <v>14</v>
      </c>
      <c r="F74" t="s">
        <v>131</v>
      </c>
    </row>
    <row r="75" spans="1:6" x14ac:dyDescent="0.3">
      <c r="A75">
        <v>1074</v>
      </c>
      <c r="B75">
        <v>733</v>
      </c>
      <c r="C75" t="s">
        <v>117</v>
      </c>
      <c r="D75" s="5">
        <v>45469</v>
      </c>
      <c r="E75">
        <v>15</v>
      </c>
      <c r="F75" t="s">
        <v>119</v>
      </c>
    </row>
    <row r="76" spans="1:6" x14ac:dyDescent="0.3">
      <c r="A76">
        <v>1075</v>
      </c>
      <c r="B76">
        <v>734</v>
      </c>
      <c r="C76" t="s">
        <v>156</v>
      </c>
      <c r="D76" s="5">
        <v>45338</v>
      </c>
      <c r="E76">
        <v>17</v>
      </c>
      <c r="F76" t="s">
        <v>112</v>
      </c>
    </row>
    <row r="77" spans="1:6" x14ac:dyDescent="0.3">
      <c r="A77">
        <v>1076</v>
      </c>
      <c r="B77">
        <v>707</v>
      </c>
      <c r="C77" t="s">
        <v>142</v>
      </c>
      <c r="D77" s="5">
        <v>45600</v>
      </c>
      <c r="E77">
        <v>19</v>
      </c>
      <c r="F77" t="s">
        <v>43</v>
      </c>
    </row>
    <row r="78" spans="1:6" x14ac:dyDescent="0.3">
      <c r="A78">
        <v>1077</v>
      </c>
      <c r="B78">
        <v>713</v>
      </c>
      <c r="C78" t="s">
        <v>140</v>
      </c>
      <c r="D78" s="5">
        <v>45303</v>
      </c>
      <c r="E78">
        <v>4</v>
      </c>
      <c r="F78" t="s">
        <v>41</v>
      </c>
    </row>
    <row r="79" spans="1:6" x14ac:dyDescent="0.3">
      <c r="A79">
        <v>1078</v>
      </c>
      <c r="B79">
        <v>658</v>
      </c>
      <c r="C79" t="s">
        <v>166</v>
      </c>
      <c r="D79" s="5">
        <v>45439</v>
      </c>
      <c r="E79">
        <v>20</v>
      </c>
      <c r="F79" t="s">
        <v>40</v>
      </c>
    </row>
    <row r="80" spans="1:6" x14ac:dyDescent="0.3">
      <c r="A80">
        <v>1079</v>
      </c>
      <c r="B80">
        <v>722</v>
      </c>
      <c r="C80" t="s">
        <v>156</v>
      </c>
      <c r="D80" s="5">
        <v>45462</v>
      </c>
      <c r="E80">
        <v>7</v>
      </c>
      <c r="F80" t="s">
        <v>112</v>
      </c>
    </row>
    <row r="81" spans="1:6" x14ac:dyDescent="0.3">
      <c r="A81">
        <v>1080</v>
      </c>
      <c r="B81">
        <v>740</v>
      </c>
      <c r="C81" t="s">
        <v>110</v>
      </c>
      <c r="D81" s="5">
        <v>45474</v>
      </c>
      <c r="E81">
        <v>11</v>
      </c>
      <c r="F81" t="s">
        <v>112</v>
      </c>
    </row>
    <row r="82" spans="1:6" x14ac:dyDescent="0.3">
      <c r="A82">
        <v>1081</v>
      </c>
      <c r="B82">
        <v>511</v>
      </c>
      <c r="C82" t="s">
        <v>117</v>
      </c>
      <c r="D82" s="5">
        <v>45626</v>
      </c>
      <c r="E82">
        <v>9</v>
      </c>
      <c r="F82" t="s">
        <v>119</v>
      </c>
    </row>
    <row r="83" spans="1:6" x14ac:dyDescent="0.3">
      <c r="A83">
        <v>1082</v>
      </c>
      <c r="B83">
        <v>585</v>
      </c>
      <c r="C83" t="s">
        <v>6</v>
      </c>
      <c r="D83" s="5">
        <v>45334</v>
      </c>
      <c r="E83">
        <v>14</v>
      </c>
      <c r="F83" t="s">
        <v>40</v>
      </c>
    </row>
    <row r="84" spans="1:6" x14ac:dyDescent="0.3">
      <c r="A84">
        <v>1083</v>
      </c>
      <c r="B84">
        <v>708</v>
      </c>
      <c r="C84" t="s">
        <v>129</v>
      </c>
      <c r="D84" s="5">
        <v>45578</v>
      </c>
      <c r="E84">
        <v>6</v>
      </c>
      <c r="F84" t="s">
        <v>131</v>
      </c>
    </row>
    <row r="85" spans="1:6" x14ac:dyDescent="0.3">
      <c r="A85">
        <v>1084</v>
      </c>
      <c r="B85">
        <v>653</v>
      </c>
      <c r="C85" t="s">
        <v>10</v>
      </c>
      <c r="D85" s="5">
        <v>45378</v>
      </c>
      <c r="E85">
        <v>19</v>
      </c>
      <c r="F85" t="s">
        <v>44</v>
      </c>
    </row>
    <row r="86" spans="1:6" x14ac:dyDescent="0.3">
      <c r="A86">
        <v>1085</v>
      </c>
      <c r="B86">
        <v>744</v>
      </c>
      <c r="C86" t="s">
        <v>133</v>
      </c>
      <c r="D86" s="5">
        <v>45490</v>
      </c>
      <c r="E86">
        <v>20</v>
      </c>
      <c r="F86" t="s">
        <v>135</v>
      </c>
    </row>
    <row r="87" spans="1:6" x14ac:dyDescent="0.3">
      <c r="A87">
        <v>1086</v>
      </c>
      <c r="B87">
        <v>636</v>
      </c>
      <c r="C87" t="s">
        <v>9</v>
      </c>
      <c r="D87" s="5">
        <v>45349</v>
      </c>
      <c r="E87">
        <v>9</v>
      </c>
      <c r="F87" t="s">
        <v>43</v>
      </c>
    </row>
    <row r="88" spans="1:6" x14ac:dyDescent="0.3">
      <c r="A88">
        <v>1087</v>
      </c>
      <c r="B88">
        <v>516</v>
      </c>
      <c r="C88" t="s">
        <v>114</v>
      </c>
      <c r="D88" s="5">
        <v>45473</v>
      </c>
      <c r="E88">
        <v>17</v>
      </c>
      <c r="F88" t="s">
        <v>40</v>
      </c>
    </row>
    <row r="89" spans="1:6" x14ac:dyDescent="0.3">
      <c r="A89">
        <v>1088</v>
      </c>
      <c r="B89">
        <v>716</v>
      </c>
      <c r="C89" t="s">
        <v>11</v>
      </c>
      <c r="D89" s="5">
        <v>45575</v>
      </c>
      <c r="E89">
        <v>11</v>
      </c>
      <c r="F89" t="s">
        <v>105</v>
      </c>
    </row>
    <row r="90" spans="1:6" x14ac:dyDescent="0.3">
      <c r="A90">
        <v>1089</v>
      </c>
      <c r="B90">
        <v>577</v>
      </c>
      <c r="C90" t="s">
        <v>10</v>
      </c>
      <c r="D90" s="5">
        <v>45495</v>
      </c>
      <c r="E90">
        <v>14</v>
      </c>
      <c r="F90" t="s">
        <v>44</v>
      </c>
    </row>
    <row r="91" spans="1:6" x14ac:dyDescent="0.3">
      <c r="A91">
        <v>1090</v>
      </c>
      <c r="B91">
        <v>535</v>
      </c>
      <c r="C91" t="s">
        <v>11</v>
      </c>
      <c r="D91" s="5">
        <v>45600</v>
      </c>
      <c r="E91">
        <v>12</v>
      </c>
      <c r="F91" t="s">
        <v>105</v>
      </c>
    </row>
    <row r="92" spans="1:6" x14ac:dyDescent="0.3">
      <c r="A92">
        <v>1091</v>
      </c>
      <c r="B92">
        <v>718</v>
      </c>
      <c r="C92" t="s">
        <v>8</v>
      </c>
      <c r="D92" s="5">
        <v>45608</v>
      </c>
      <c r="E92">
        <v>12</v>
      </c>
      <c r="F92" t="s">
        <v>42</v>
      </c>
    </row>
    <row r="93" spans="1:6" x14ac:dyDescent="0.3">
      <c r="A93">
        <v>1092</v>
      </c>
      <c r="B93">
        <v>595</v>
      </c>
      <c r="C93" t="s">
        <v>110</v>
      </c>
      <c r="D93" s="5">
        <v>45595</v>
      </c>
      <c r="E93">
        <v>7</v>
      </c>
      <c r="F93" t="s">
        <v>112</v>
      </c>
    </row>
    <row r="94" spans="1:6" x14ac:dyDescent="0.3">
      <c r="A94">
        <v>1093</v>
      </c>
      <c r="B94">
        <v>652</v>
      </c>
      <c r="C94" t="s">
        <v>9</v>
      </c>
      <c r="D94" s="5">
        <v>45564</v>
      </c>
      <c r="E94">
        <v>16</v>
      </c>
      <c r="F94" t="s">
        <v>43</v>
      </c>
    </row>
    <row r="95" spans="1:6" x14ac:dyDescent="0.3">
      <c r="A95">
        <v>1094</v>
      </c>
      <c r="B95">
        <v>684</v>
      </c>
      <c r="C95" t="s">
        <v>137</v>
      </c>
      <c r="D95" s="5">
        <v>45637</v>
      </c>
      <c r="E95">
        <v>8</v>
      </c>
      <c r="F95" t="s">
        <v>135</v>
      </c>
    </row>
    <row r="96" spans="1:6" x14ac:dyDescent="0.3">
      <c r="A96">
        <v>1095</v>
      </c>
      <c r="B96">
        <v>571</v>
      </c>
      <c r="C96" t="s">
        <v>121</v>
      </c>
      <c r="D96" s="5">
        <v>45512</v>
      </c>
      <c r="E96">
        <v>17</v>
      </c>
      <c r="F96" t="s">
        <v>105</v>
      </c>
    </row>
    <row r="97" spans="1:6" x14ac:dyDescent="0.3">
      <c r="A97">
        <v>1096</v>
      </c>
      <c r="B97">
        <v>704</v>
      </c>
      <c r="C97" t="s">
        <v>166</v>
      </c>
      <c r="D97" s="5">
        <v>45530</v>
      </c>
      <c r="E97">
        <v>14</v>
      </c>
      <c r="F97" t="s">
        <v>40</v>
      </c>
    </row>
    <row r="98" spans="1:6" x14ac:dyDescent="0.3">
      <c r="A98">
        <v>1097</v>
      </c>
      <c r="B98">
        <v>533</v>
      </c>
      <c r="C98" t="s">
        <v>126</v>
      </c>
      <c r="D98" s="5">
        <v>45315</v>
      </c>
      <c r="E98">
        <v>13</v>
      </c>
      <c r="F98" t="s">
        <v>42</v>
      </c>
    </row>
    <row r="99" spans="1:6" x14ac:dyDescent="0.3">
      <c r="A99">
        <v>1098</v>
      </c>
      <c r="B99">
        <v>691</v>
      </c>
      <c r="C99" t="s">
        <v>126</v>
      </c>
      <c r="D99" s="5">
        <v>45414</v>
      </c>
      <c r="E99">
        <v>18</v>
      </c>
      <c r="F99" t="s">
        <v>42</v>
      </c>
    </row>
    <row r="100" spans="1:6" x14ac:dyDescent="0.3">
      <c r="A100">
        <v>1099</v>
      </c>
      <c r="B100">
        <v>723</v>
      </c>
      <c r="C100" t="s">
        <v>160</v>
      </c>
      <c r="D100" s="5">
        <v>45434</v>
      </c>
      <c r="E100">
        <v>17</v>
      </c>
      <c r="F100" t="s">
        <v>41</v>
      </c>
    </row>
    <row r="101" spans="1:6" x14ac:dyDescent="0.3">
      <c r="A101">
        <v>1100</v>
      </c>
      <c r="B101">
        <v>731</v>
      </c>
      <c r="C101" t="s">
        <v>148</v>
      </c>
      <c r="D101" s="5">
        <v>45422</v>
      </c>
      <c r="E101">
        <v>16</v>
      </c>
      <c r="F101" t="s">
        <v>105</v>
      </c>
    </row>
    <row r="102" spans="1:6" x14ac:dyDescent="0.3">
      <c r="A102">
        <v>1101</v>
      </c>
      <c r="B102">
        <v>687</v>
      </c>
      <c r="C102" t="s">
        <v>169</v>
      </c>
      <c r="D102" s="5">
        <v>45354</v>
      </c>
      <c r="E102">
        <v>16</v>
      </c>
      <c r="F102" t="s">
        <v>171</v>
      </c>
    </row>
    <row r="103" spans="1:6" x14ac:dyDescent="0.3">
      <c r="A103">
        <v>1102</v>
      </c>
      <c r="B103">
        <v>509</v>
      </c>
      <c r="C103" t="s">
        <v>148</v>
      </c>
      <c r="D103" s="5">
        <v>45613</v>
      </c>
      <c r="E103">
        <v>3</v>
      </c>
      <c r="F103" t="s">
        <v>105</v>
      </c>
    </row>
    <row r="104" spans="1:6" x14ac:dyDescent="0.3">
      <c r="A104">
        <v>1103</v>
      </c>
      <c r="B104">
        <v>572</v>
      </c>
      <c r="C104" t="s">
        <v>173</v>
      </c>
      <c r="D104" s="5">
        <v>45542</v>
      </c>
      <c r="E104">
        <v>6</v>
      </c>
      <c r="F104" t="s">
        <v>135</v>
      </c>
    </row>
    <row r="105" spans="1:6" x14ac:dyDescent="0.3">
      <c r="A105">
        <v>1104</v>
      </c>
      <c r="B105">
        <v>596</v>
      </c>
      <c r="C105" t="s">
        <v>156</v>
      </c>
      <c r="D105" s="5">
        <v>45464</v>
      </c>
      <c r="E105">
        <v>9</v>
      </c>
      <c r="F105" t="s">
        <v>112</v>
      </c>
    </row>
    <row r="106" spans="1:6" x14ac:dyDescent="0.3">
      <c r="A106">
        <v>1105</v>
      </c>
      <c r="B106">
        <v>575</v>
      </c>
      <c r="C106" t="s">
        <v>123</v>
      </c>
      <c r="D106" s="5">
        <v>45305</v>
      </c>
      <c r="E106">
        <v>16</v>
      </c>
      <c r="F106" t="s">
        <v>112</v>
      </c>
    </row>
    <row r="107" spans="1:6" x14ac:dyDescent="0.3">
      <c r="A107">
        <v>1106</v>
      </c>
      <c r="B107">
        <v>587</v>
      </c>
      <c r="C107" t="s">
        <v>137</v>
      </c>
      <c r="D107" s="5">
        <v>45363</v>
      </c>
      <c r="E107">
        <v>7</v>
      </c>
      <c r="F107" t="s">
        <v>135</v>
      </c>
    </row>
    <row r="108" spans="1:6" x14ac:dyDescent="0.3">
      <c r="A108">
        <v>1107</v>
      </c>
      <c r="B108">
        <v>655</v>
      </c>
      <c r="C108" t="s">
        <v>10</v>
      </c>
      <c r="D108" s="5">
        <v>45583</v>
      </c>
      <c r="E108">
        <v>5</v>
      </c>
      <c r="F108" t="s">
        <v>44</v>
      </c>
    </row>
    <row r="109" spans="1:6" x14ac:dyDescent="0.3">
      <c r="A109">
        <v>1108</v>
      </c>
      <c r="B109">
        <v>623</v>
      </c>
      <c r="C109" t="s">
        <v>158</v>
      </c>
      <c r="D109" s="5">
        <v>45626</v>
      </c>
      <c r="E109">
        <v>3</v>
      </c>
      <c r="F109" t="s">
        <v>112</v>
      </c>
    </row>
    <row r="110" spans="1:6" x14ac:dyDescent="0.3">
      <c r="A110">
        <v>1109</v>
      </c>
      <c r="B110">
        <v>651</v>
      </c>
      <c r="C110" t="s">
        <v>10</v>
      </c>
      <c r="D110" s="5">
        <v>45616</v>
      </c>
      <c r="E110">
        <v>13</v>
      </c>
      <c r="F110" t="s">
        <v>44</v>
      </c>
    </row>
    <row r="111" spans="1:6" x14ac:dyDescent="0.3">
      <c r="A111">
        <v>1110</v>
      </c>
      <c r="B111">
        <v>642</v>
      </c>
      <c r="C111" t="s">
        <v>160</v>
      </c>
      <c r="D111" s="5">
        <v>45457</v>
      </c>
      <c r="E111">
        <v>2</v>
      </c>
      <c r="F111" t="s">
        <v>41</v>
      </c>
    </row>
    <row r="112" spans="1:6" x14ac:dyDescent="0.3">
      <c r="A112">
        <v>1111</v>
      </c>
      <c r="B112">
        <v>514</v>
      </c>
      <c r="C112" t="s">
        <v>129</v>
      </c>
      <c r="D112" s="5">
        <v>45485</v>
      </c>
      <c r="E112">
        <v>1</v>
      </c>
      <c r="F112" t="s">
        <v>131</v>
      </c>
    </row>
    <row r="113" spans="1:6" x14ac:dyDescent="0.3">
      <c r="A113">
        <v>1112</v>
      </c>
      <c r="B113">
        <v>575</v>
      </c>
      <c r="C113" t="s">
        <v>126</v>
      </c>
      <c r="D113" s="5">
        <v>45418</v>
      </c>
      <c r="E113">
        <v>17</v>
      </c>
      <c r="F113" t="s">
        <v>42</v>
      </c>
    </row>
    <row r="114" spans="1:6" x14ac:dyDescent="0.3">
      <c r="A114">
        <v>1113</v>
      </c>
      <c r="B114">
        <v>745</v>
      </c>
      <c r="C114" t="s">
        <v>110</v>
      </c>
      <c r="D114" s="5">
        <v>45470</v>
      </c>
      <c r="E114">
        <v>5</v>
      </c>
      <c r="F114" t="s">
        <v>112</v>
      </c>
    </row>
    <row r="115" spans="1:6" x14ac:dyDescent="0.3">
      <c r="A115">
        <v>1114</v>
      </c>
      <c r="B115">
        <v>719</v>
      </c>
      <c r="C115" t="s">
        <v>9</v>
      </c>
      <c r="D115" s="5">
        <v>45482</v>
      </c>
      <c r="E115">
        <v>5</v>
      </c>
      <c r="F115" t="s">
        <v>43</v>
      </c>
    </row>
    <row r="116" spans="1:6" x14ac:dyDescent="0.3">
      <c r="A116">
        <v>1115</v>
      </c>
      <c r="B116">
        <v>646</v>
      </c>
      <c r="C116" t="s">
        <v>162</v>
      </c>
      <c r="D116" s="5">
        <v>45355</v>
      </c>
      <c r="E116">
        <v>12</v>
      </c>
      <c r="F116" t="s">
        <v>164</v>
      </c>
    </row>
    <row r="117" spans="1:6" x14ac:dyDescent="0.3">
      <c r="A117">
        <v>1116</v>
      </c>
      <c r="B117">
        <v>583</v>
      </c>
      <c r="C117" t="s">
        <v>73</v>
      </c>
      <c r="D117" s="5">
        <v>45558</v>
      </c>
      <c r="E117">
        <v>20</v>
      </c>
      <c r="F117" t="s">
        <v>105</v>
      </c>
    </row>
    <row r="118" spans="1:6" x14ac:dyDescent="0.3">
      <c r="A118">
        <v>1117</v>
      </c>
      <c r="B118">
        <v>676</v>
      </c>
      <c r="C118" t="s">
        <v>178</v>
      </c>
      <c r="D118" s="5">
        <v>45383</v>
      </c>
      <c r="E118">
        <v>12</v>
      </c>
      <c r="F118" t="s">
        <v>105</v>
      </c>
    </row>
    <row r="119" spans="1:6" x14ac:dyDescent="0.3">
      <c r="A119">
        <v>1118</v>
      </c>
      <c r="B119">
        <v>629</v>
      </c>
      <c r="C119" t="s">
        <v>129</v>
      </c>
      <c r="D119" s="5">
        <v>45321</v>
      </c>
      <c r="E119">
        <v>11</v>
      </c>
      <c r="F119" t="s">
        <v>131</v>
      </c>
    </row>
    <row r="120" spans="1:6" x14ac:dyDescent="0.3">
      <c r="A120">
        <v>1119</v>
      </c>
      <c r="B120">
        <v>675</v>
      </c>
      <c r="C120" t="s">
        <v>154</v>
      </c>
      <c r="D120" s="5">
        <v>45480</v>
      </c>
      <c r="E120">
        <v>19</v>
      </c>
      <c r="F120" t="s">
        <v>152</v>
      </c>
    </row>
    <row r="121" spans="1:6" x14ac:dyDescent="0.3">
      <c r="A121">
        <v>1120</v>
      </c>
      <c r="B121">
        <v>678</v>
      </c>
      <c r="C121" t="s">
        <v>150</v>
      </c>
      <c r="D121" s="5">
        <v>45638</v>
      </c>
      <c r="E121">
        <v>14</v>
      </c>
      <c r="F121" t="s">
        <v>152</v>
      </c>
    </row>
    <row r="122" spans="1:6" x14ac:dyDescent="0.3">
      <c r="A122">
        <v>1121</v>
      </c>
      <c r="B122">
        <v>509</v>
      </c>
      <c r="C122" t="s">
        <v>137</v>
      </c>
      <c r="D122" s="5">
        <v>45611</v>
      </c>
      <c r="E122">
        <v>1</v>
      </c>
      <c r="F122" t="s">
        <v>135</v>
      </c>
    </row>
    <row r="123" spans="1:6" x14ac:dyDescent="0.3">
      <c r="A123">
        <v>1122</v>
      </c>
      <c r="B123">
        <v>567</v>
      </c>
      <c r="C123" t="s">
        <v>162</v>
      </c>
      <c r="D123" s="5">
        <v>45310</v>
      </c>
      <c r="E123">
        <v>15</v>
      </c>
      <c r="F123" t="s">
        <v>164</v>
      </c>
    </row>
    <row r="124" spans="1:6" x14ac:dyDescent="0.3">
      <c r="A124">
        <v>1123</v>
      </c>
      <c r="B124">
        <v>526</v>
      </c>
      <c r="C124" t="s">
        <v>114</v>
      </c>
      <c r="D124" s="5">
        <v>45492</v>
      </c>
      <c r="E124">
        <v>4</v>
      </c>
      <c r="F124" t="s">
        <v>40</v>
      </c>
    </row>
    <row r="125" spans="1:6" x14ac:dyDescent="0.3">
      <c r="A125">
        <v>1124</v>
      </c>
      <c r="B125">
        <v>578</v>
      </c>
      <c r="C125" t="s">
        <v>137</v>
      </c>
      <c r="D125" s="5">
        <v>45527</v>
      </c>
      <c r="E125">
        <v>16</v>
      </c>
      <c r="F125" t="s">
        <v>135</v>
      </c>
    </row>
    <row r="126" spans="1:6" x14ac:dyDescent="0.3">
      <c r="A126">
        <v>1125</v>
      </c>
      <c r="B126">
        <v>594</v>
      </c>
      <c r="C126" t="s">
        <v>154</v>
      </c>
      <c r="D126" s="5">
        <v>45385</v>
      </c>
      <c r="E126">
        <v>3</v>
      </c>
      <c r="F126" t="s">
        <v>152</v>
      </c>
    </row>
    <row r="127" spans="1:6" x14ac:dyDescent="0.3">
      <c r="A127">
        <v>1126</v>
      </c>
      <c r="B127">
        <v>604</v>
      </c>
      <c r="C127" t="s">
        <v>175</v>
      </c>
      <c r="D127" s="5">
        <v>45615</v>
      </c>
      <c r="E127">
        <v>11</v>
      </c>
      <c r="F127" t="s">
        <v>105</v>
      </c>
    </row>
    <row r="128" spans="1:6" x14ac:dyDescent="0.3">
      <c r="A128">
        <v>1127</v>
      </c>
      <c r="B128">
        <v>545</v>
      </c>
      <c r="C128" t="s">
        <v>129</v>
      </c>
      <c r="D128" s="5">
        <v>45621</v>
      </c>
      <c r="E128">
        <v>14</v>
      </c>
      <c r="F128" t="s">
        <v>131</v>
      </c>
    </row>
    <row r="129" spans="1:6" x14ac:dyDescent="0.3">
      <c r="A129">
        <v>1128</v>
      </c>
      <c r="B129">
        <v>703</v>
      </c>
      <c r="C129" t="s">
        <v>6</v>
      </c>
      <c r="D129" s="5">
        <v>45449</v>
      </c>
      <c r="E129">
        <v>9</v>
      </c>
      <c r="F129" t="s">
        <v>40</v>
      </c>
    </row>
    <row r="130" spans="1:6" x14ac:dyDescent="0.3">
      <c r="A130">
        <v>1129</v>
      </c>
      <c r="B130">
        <v>532</v>
      </c>
      <c r="C130" t="s">
        <v>160</v>
      </c>
      <c r="D130" s="5">
        <v>45533</v>
      </c>
      <c r="E130">
        <v>5</v>
      </c>
      <c r="F130" t="s">
        <v>41</v>
      </c>
    </row>
    <row r="131" spans="1:6" x14ac:dyDescent="0.3">
      <c r="A131">
        <v>1130</v>
      </c>
      <c r="B131">
        <v>741</v>
      </c>
      <c r="C131" t="s">
        <v>148</v>
      </c>
      <c r="D131" s="5">
        <v>45550</v>
      </c>
      <c r="E131">
        <v>7</v>
      </c>
      <c r="F131" t="s">
        <v>105</v>
      </c>
    </row>
    <row r="132" spans="1:6" x14ac:dyDescent="0.3">
      <c r="A132">
        <v>1131</v>
      </c>
      <c r="B132">
        <v>688</v>
      </c>
      <c r="C132" t="s">
        <v>121</v>
      </c>
      <c r="D132" s="5">
        <v>45437</v>
      </c>
      <c r="E132">
        <v>19</v>
      </c>
      <c r="F132" t="s">
        <v>105</v>
      </c>
    </row>
    <row r="133" spans="1:6" x14ac:dyDescent="0.3">
      <c r="A133">
        <v>1132</v>
      </c>
      <c r="B133">
        <v>571</v>
      </c>
      <c r="C133" t="s">
        <v>173</v>
      </c>
      <c r="D133" s="5">
        <v>45420</v>
      </c>
      <c r="E133">
        <v>16</v>
      </c>
      <c r="F133" t="s">
        <v>135</v>
      </c>
    </row>
    <row r="134" spans="1:6" x14ac:dyDescent="0.3">
      <c r="A134">
        <v>1133</v>
      </c>
      <c r="B134">
        <v>671</v>
      </c>
      <c r="C134" t="s">
        <v>158</v>
      </c>
      <c r="D134" s="5">
        <v>45649</v>
      </c>
      <c r="E134">
        <v>3</v>
      </c>
      <c r="F134" t="s">
        <v>112</v>
      </c>
    </row>
    <row r="135" spans="1:6" x14ac:dyDescent="0.3">
      <c r="A135">
        <v>1134</v>
      </c>
      <c r="B135">
        <v>603</v>
      </c>
      <c r="C135" t="s">
        <v>178</v>
      </c>
      <c r="D135" s="5">
        <v>45620</v>
      </c>
      <c r="E135">
        <v>9</v>
      </c>
      <c r="F135" t="s">
        <v>105</v>
      </c>
    </row>
    <row r="136" spans="1:6" x14ac:dyDescent="0.3">
      <c r="A136">
        <v>1135</v>
      </c>
      <c r="B136">
        <v>649</v>
      </c>
      <c r="C136" t="s">
        <v>169</v>
      </c>
      <c r="D136" s="5">
        <v>45613</v>
      </c>
      <c r="E136">
        <v>9</v>
      </c>
      <c r="F136" t="s">
        <v>171</v>
      </c>
    </row>
    <row r="137" spans="1:6" x14ac:dyDescent="0.3">
      <c r="A137">
        <v>1136</v>
      </c>
      <c r="B137">
        <v>528</v>
      </c>
      <c r="C137" t="s">
        <v>137</v>
      </c>
      <c r="D137" s="5">
        <v>45423</v>
      </c>
      <c r="E137">
        <v>17</v>
      </c>
      <c r="F137" t="s">
        <v>135</v>
      </c>
    </row>
    <row r="138" spans="1:6" x14ac:dyDescent="0.3">
      <c r="A138">
        <v>1137</v>
      </c>
      <c r="B138">
        <v>736</v>
      </c>
      <c r="C138" t="s">
        <v>175</v>
      </c>
      <c r="D138" s="5">
        <v>45510</v>
      </c>
      <c r="E138">
        <v>4</v>
      </c>
      <c r="F138" t="s">
        <v>105</v>
      </c>
    </row>
    <row r="139" spans="1:6" x14ac:dyDescent="0.3">
      <c r="A139">
        <v>1138</v>
      </c>
      <c r="B139">
        <v>739</v>
      </c>
      <c r="C139" t="s">
        <v>158</v>
      </c>
      <c r="D139" s="5">
        <v>45488</v>
      </c>
      <c r="E139">
        <v>20</v>
      </c>
      <c r="F139" t="s">
        <v>112</v>
      </c>
    </row>
    <row r="140" spans="1:6" x14ac:dyDescent="0.3">
      <c r="A140">
        <v>1139</v>
      </c>
      <c r="B140">
        <v>593</v>
      </c>
      <c r="C140" t="s">
        <v>156</v>
      </c>
      <c r="D140" s="5">
        <v>45641</v>
      </c>
      <c r="E140">
        <v>13</v>
      </c>
      <c r="F140" t="s">
        <v>112</v>
      </c>
    </row>
    <row r="141" spans="1:6" x14ac:dyDescent="0.3">
      <c r="A141">
        <v>1140</v>
      </c>
      <c r="B141">
        <v>623</v>
      </c>
      <c r="C141" t="s">
        <v>162</v>
      </c>
      <c r="D141" s="5">
        <v>45604</v>
      </c>
      <c r="E141">
        <v>12</v>
      </c>
      <c r="F141" t="s">
        <v>164</v>
      </c>
    </row>
    <row r="142" spans="1:6" x14ac:dyDescent="0.3">
      <c r="A142">
        <v>1141</v>
      </c>
      <c r="B142">
        <v>687</v>
      </c>
      <c r="C142" t="s">
        <v>150</v>
      </c>
      <c r="D142" s="5">
        <v>45478</v>
      </c>
      <c r="E142">
        <v>13</v>
      </c>
      <c r="F142" t="s">
        <v>152</v>
      </c>
    </row>
    <row r="143" spans="1:6" x14ac:dyDescent="0.3">
      <c r="A143">
        <v>1142</v>
      </c>
      <c r="B143">
        <v>739</v>
      </c>
      <c r="C143" t="s">
        <v>173</v>
      </c>
      <c r="D143" s="5">
        <v>45651</v>
      </c>
      <c r="E143">
        <v>16</v>
      </c>
      <c r="F143" t="s">
        <v>135</v>
      </c>
    </row>
    <row r="144" spans="1:6" x14ac:dyDescent="0.3">
      <c r="A144">
        <v>1143</v>
      </c>
      <c r="B144">
        <v>706</v>
      </c>
      <c r="C144" t="s">
        <v>181</v>
      </c>
      <c r="D144" s="5">
        <v>45506</v>
      </c>
      <c r="E144">
        <v>15</v>
      </c>
      <c r="F144" t="s">
        <v>164</v>
      </c>
    </row>
    <row r="145" spans="1:6" x14ac:dyDescent="0.3">
      <c r="A145">
        <v>1144</v>
      </c>
      <c r="B145">
        <v>608</v>
      </c>
      <c r="C145" t="s">
        <v>133</v>
      </c>
      <c r="D145" s="5">
        <v>45585</v>
      </c>
      <c r="E145">
        <v>20</v>
      </c>
      <c r="F145" t="s">
        <v>135</v>
      </c>
    </row>
    <row r="146" spans="1:6" x14ac:dyDescent="0.3">
      <c r="A146">
        <v>1145</v>
      </c>
      <c r="B146">
        <v>532</v>
      </c>
      <c r="C146" t="s">
        <v>178</v>
      </c>
      <c r="D146" s="5">
        <v>45325</v>
      </c>
      <c r="E146">
        <v>18</v>
      </c>
      <c r="F146" t="s">
        <v>105</v>
      </c>
    </row>
    <row r="147" spans="1:6" x14ac:dyDescent="0.3">
      <c r="A147">
        <v>1146</v>
      </c>
      <c r="B147">
        <v>666</v>
      </c>
      <c r="C147" t="s">
        <v>148</v>
      </c>
      <c r="D147" s="5">
        <v>45624</v>
      </c>
      <c r="E147">
        <v>7</v>
      </c>
      <c r="F147" t="s">
        <v>105</v>
      </c>
    </row>
    <row r="148" spans="1:6" x14ac:dyDescent="0.3">
      <c r="A148">
        <v>1147</v>
      </c>
      <c r="B148">
        <v>705</v>
      </c>
      <c r="C148" t="s">
        <v>73</v>
      </c>
      <c r="D148" s="5">
        <v>45510</v>
      </c>
      <c r="E148">
        <v>18</v>
      </c>
      <c r="F148" t="s">
        <v>105</v>
      </c>
    </row>
    <row r="149" spans="1:6" x14ac:dyDescent="0.3">
      <c r="A149">
        <v>1148</v>
      </c>
      <c r="B149">
        <v>648</v>
      </c>
      <c r="C149" t="s">
        <v>140</v>
      </c>
      <c r="D149" s="5">
        <v>45640</v>
      </c>
      <c r="E149">
        <v>3</v>
      </c>
      <c r="F149" t="s">
        <v>41</v>
      </c>
    </row>
    <row r="150" spans="1:6" x14ac:dyDescent="0.3">
      <c r="A150">
        <v>1149</v>
      </c>
      <c r="B150">
        <v>610</v>
      </c>
      <c r="C150" t="s">
        <v>137</v>
      </c>
      <c r="D150" s="5">
        <v>45387</v>
      </c>
      <c r="E150">
        <v>14</v>
      </c>
      <c r="F150" t="s">
        <v>135</v>
      </c>
    </row>
    <row r="151" spans="1:6" x14ac:dyDescent="0.3">
      <c r="A151">
        <v>1150</v>
      </c>
      <c r="B151">
        <v>586</v>
      </c>
      <c r="C151" t="s">
        <v>126</v>
      </c>
      <c r="D151" s="5">
        <v>45353</v>
      </c>
      <c r="E151">
        <v>7</v>
      </c>
      <c r="F151" t="s">
        <v>42</v>
      </c>
    </row>
    <row r="152" spans="1:6" x14ac:dyDescent="0.3">
      <c r="A152">
        <v>1151</v>
      </c>
      <c r="B152">
        <v>729</v>
      </c>
      <c r="C152" t="s">
        <v>7</v>
      </c>
      <c r="D152" s="5">
        <v>45308</v>
      </c>
      <c r="E152">
        <v>9</v>
      </c>
      <c r="F152" t="s">
        <v>41</v>
      </c>
    </row>
    <row r="153" spans="1:6" x14ac:dyDescent="0.3">
      <c r="A153">
        <v>1152</v>
      </c>
      <c r="B153">
        <v>747</v>
      </c>
      <c r="C153" t="s">
        <v>142</v>
      </c>
      <c r="D153" s="5">
        <v>45514</v>
      </c>
      <c r="E153">
        <v>14</v>
      </c>
      <c r="F153" t="s">
        <v>43</v>
      </c>
    </row>
    <row r="154" spans="1:6" x14ac:dyDescent="0.3">
      <c r="A154">
        <v>1153</v>
      </c>
      <c r="B154">
        <v>665</v>
      </c>
      <c r="C154" t="s">
        <v>126</v>
      </c>
      <c r="D154" s="5">
        <v>45572</v>
      </c>
      <c r="E154">
        <v>1</v>
      </c>
      <c r="F154" t="s">
        <v>42</v>
      </c>
    </row>
    <row r="155" spans="1:6" x14ac:dyDescent="0.3">
      <c r="A155">
        <v>1154</v>
      </c>
      <c r="B155">
        <v>750</v>
      </c>
      <c r="C155" t="s">
        <v>11</v>
      </c>
      <c r="D155" s="5">
        <v>45551</v>
      </c>
      <c r="E155">
        <v>8</v>
      </c>
      <c r="F155" t="s">
        <v>105</v>
      </c>
    </row>
    <row r="156" spans="1:6" x14ac:dyDescent="0.3">
      <c r="A156">
        <v>1155</v>
      </c>
      <c r="B156">
        <v>690</v>
      </c>
      <c r="C156" t="s">
        <v>129</v>
      </c>
      <c r="D156" s="5">
        <v>45516</v>
      </c>
      <c r="E156">
        <v>18</v>
      </c>
      <c r="F156" t="s">
        <v>131</v>
      </c>
    </row>
    <row r="157" spans="1:6" x14ac:dyDescent="0.3">
      <c r="A157">
        <v>1156</v>
      </c>
      <c r="B157">
        <v>560</v>
      </c>
      <c r="C157" t="s">
        <v>158</v>
      </c>
      <c r="D157" s="5">
        <v>45317</v>
      </c>
      <c r="E157">
        <v>12</v>
      </c>
      <c r="F157" t="s">
        <v>112</v>
      </c>
    </row>
    <row r="158" spans="1:6" x14ac:dyDescent="0.3">
      <c r="A158">
        <v>1157</v>
      </c>
      <c r="B158">
        <v>584</v>
      </c>
      <c r="C158" t="s">
        <v>162</v>
      </c>
      <c r="D158" s="5">
        <v>45295</v>
      </c>
      <c r="E158">
        <v>13</v>
      </c>
      <c r="F158" t="s">
        <v>164</v>
      </c>
    </row>
    <row r="159" spans="1:6" x14ac:dyDescent="0.3">
      <c r="A159">
        <v>1158</v>
      </c>
      <c r="B159">
        <v>541</v>
      </c>
      <c r="C159" t="s">
        <v>10</v>
      </c>
      <c r="D159" s="5">
        <v>45344</v>
      </c>
      <c r="E159">
        <v>3</v>
      </c>
      <c r="F159" t="s">
        <v>44</v>
      </c>
    </row>
    <row r="160" spans="1:6" x14ac:dyDescent="0.3">
      <c r="A160">
        <v>1159</v>
      </c>
      <c r="B160">
        <v>505</v>
      </c>
      <c r="C160" t="s">
        <v>158</v>
      </c>
      <c r="D160" s="5">
        <v>45655</v>
      </c>
      <c r="E160">
        <v>10</v>
      </c>
      <c r="F160" t="s">
        <v>112</v>
      </c>
    </row>
    <row r="161" spans="1:6" x14ac:dyDescent="0.3">
      <c r="A161">
        <v>1160</v>
      </c>
      <c r="B161">
        <v>672</v>
      </c>
      <c r="C161" t="s">
        <v>175</v>
      </c>
      <c r="D161" s="5">
        <v>45596</v>
      </c>
      <c r="E161">
        <v>13</v>
      </c>
      <c r="F161" t="s">
        <v>105</v>
      </c>
    </row>
    <row r="162" spans="1:6" x14ac:dyDescent="0.3">
      <c r="A162">
        <v>1161</v>
      </c>
      <c r="B162">
        <v>684</v>
      </c>
      <c r="C162" t="s">
        <v>178</v>
      </c>
      <c r="D162" s="5">
        <v>45371</v>
      </c>
      <c r="E162">
        <v>19</v>
      </c>
      <c r="F162" t="s">
        <v>105</v>
      </c>
    </row>
    <row r="163" spans="1:6" x14ac:dyDescent="0.3">
      <c r="A163">
        <v>1162</v>
      </c>
      <c r="B163">
        <v>549</v>
      </c>
      <c r="C163" t="s">
        <v>184</v>
      </c>
      <c r="D163" s="5">
        <v>45556</v>
      </c>
      <c r="E163">
        <v>12</v>
      </c>
      <c r="F163" t="s">
        <v>131</v>
      </c>
    </row>
    <row r="164" spans="1:6" x14ac:dyDescent="0.3">
      <c r="A164">
        <v>1163</v>
      </c>
      <c r="B164">
        <v>627</v>
      </c>
      <c r="C164" t="s">
        <v>178</v>
      </c>
      <c r="D164" s="5">
        <v>45313</v>
      </c>
      <c r="E164">
        <v>3</v>
      </c>
      <c r="F164" t="s">
        <v>105</v>
      </c>
    </row>
    <row r="165" spans="1:6" x14ac:dyDescent="0.3">
      <c r="A165">
        <v>1164</v>
      </c>
      <c r="B165">
        <v>657</v>
      </c>
      <c r="C165" t="s">
        <v>150</v>
      </c>
      <c r="D165" s="5">
        <v>45628</v>
      </c>
      <c r="E165">
        <v>13</v>
      </c>
      <c r="F165" t="s">
        <v>152</v>
      </c>
    </row>
    <row r="166" spans="1:6" x14ac:dyDescent="0.3">
      <c r="A166">
        <v>1165</v>
      </c>
      <c r="B166">
        <v>605</v>
      </c>
      <c r="C166" t="s">
        <v>175</v>
      </c>
      <c r="D166" s="5">
        <v>45558</v>
      </c>
      <c r="E166">
        <v>8</v>
      </c>
      <c r="F166" t="s">
        <v>105</v>
      </c>
    </row>
    <row r="167" spans="1:6" x14ac:dyDescent="0.3">
      <c r="A167">
        <v>1166</v>
      </c>
      <c r="B167">
        <v>557</v>
      </c>
      <c r="C167" t="s">
        <v>166</v>
      </c>
      <c r="D167" s="5">
        <v>45478</v>
      </c>
      <c r="E167">
        <v>13</v>
      </c>
      <c r="F167" t="s">
        <v>40</v>
      </c>
    </row>
    <row r="168" spans="1:6" x14ac:dyDescent="0.3">
      <c r="A168">
        <v>1167</v>
      </c>
      <c r="B168">
        <v>665</v>
      </c>
      <c r="C168" t="s">
        <v>117</v>
      </c>
      <c r="D168" s="5">
        <v>45593</v>
      </c>
      <c r="E168">
        <v>17</v>
      </c>
      <c r="F168" t="s">
        <v>119</v>
      </c>
    </row>
    <row r="169" spans="1:6" x14ac:dyDescent="0.3">
      <c r="A169">
        <v>1168</v>
      </c>
      <c r="B169">
        <v>700</v>
      </c>
      <c r="C169" t="s">
        <v>7</v>
      </c>
      <c r="D169" s="5">
        <v>45311</v>
      </c>
      <c r="E169">
        <v>2</v>
      </c>
      <c r="F169" t="s">
        <v>41</v>
      </c>
    </row>
    <row r="170" spans="1:6" x14ac:dyDescent="0.3">
      <c r="A170">
        <v>1169</v>
      </c>
      <c r="B170">
        <v>552</v>
      </c>
      <c r="C170" t="s">
        <v>10</v>
      </c>
      <c r="D170" s="5">
        <v>45395</v>
      </c>
      <c r="E170">
        <v>16</v>
      </c>
      <c r="F170" t="s">
        <v>44</v>
      </c>
    </row>
    <row r="171" spans="1:6" x14ac:dyDescent="0.3">
      <c r="A171">
        <v>1170</v>
      </c>
      <c r="B171">
        <v>632</v>
      </c>
      <c r="C171" t="s">
        <v>73</v>
      </c>
      <c r="D171" s="5">
        <v>45557</v>
      </c>
      <c r="E171">
        <v>17</v>
      </c>
      <c r="F171" t="s">
        <v>105</v>
      </c>
    </row>
    <row r="172" spans="1:6" x14ac:dyDescent="0.3">
      <c r="A172">
        <v>1171</v>
      </c>
      <c r="B172">
        <v>553</v>
      </c>
      <c r="C172" t="s">
        <v>158</v>
      </c>
      <c r="D172" s="5">
        <v>45571</v>
      </c>
      <c r="E172">
        <v>20</v>
      </c>
      <c r="F172" t="s">
        <v>112</v>
      </c>
    </row>
    <row r="173" spans="1:6" x14ac:dyDescent="0.3">
      <c r="A173">
        <v>1172</v>
      </c>
      <c r="B173">
        <v>575</v>
      </c>
      <c r="C173" t="s">
        <v>156</v>
      </c>
      <c r="D173" s="5">
        <v>45387</v>
      </c>
      <c r="E173">
        <v>19</v>
      </c>
      <c r="F173" t="s">
        <v>112</v>
      </c>
    </row>
    <row r="174" spans="1:6" x14ac:dyDescent="0.3">
      <c r="A174">
        <v>1173</v>
      </c>
      <c r="B174">
        <v>514</v>
      </c>
      <c r="C174" t="s">
        <v>142</v>
      </c>
      <c r="D174" s="5">
        <v>45312</v>
      </c>
      <c r="E174">
        <v>6</v>
      </c>
      <c r="F174" t="s">
        <v>43</v>
      </c>
    </row>
    <row r="175" spans="1:6" x14ac:dyDescent="0.3">
      <c r="A175">
        <v>1174</v>
      </c>
      <c r="B175">
        <v>622</v>
      </c>
      <c r="C175" t="s">
        <v>173</v>
      </c>
      <c r="D175" s="5">
        <v>45602</v>
      </c>
      <c r="E175">
        <v>19</v>
      </c>
      <c r="F175" t="s">
        <v>135</v>
      </c>
    </row>
    <row r="176" spans="1:6" x14ac:dyDescent="0.3">
      <c r="A176">
        <v>1175</v>
      </c>
      <c r="B176">
        <v>575</v>
      </c>
      <c r="C176" t="s">
        <v>150</v>
      </c>
      <c r="D176" s="5">
        <v>45573</v>
      </c>
      <c r="E176">
        <v>14</v>
      </c>
      <c r="F176" t="s">
        <v>152</v>
      </c>
    </row>
    <row r="177" spans="1:6" x14ac:dyDescent="0.3">
      <c r="A177">
        <v>1176</v>
      </c>
      <c r="B177">
        <v>587</v>
      </c>
      <c r="C177" t="s">
        <v>126</v>
      </c>
      <c r="D177" s="5">
        <v>45309</v>
      </c>
      <c r="E177">
        <v>17</v>
      </c>
      <c r="F177" t="s">
        <v>42</v>
      </c>
    </row>
    <row r="178" spans="1:6" x14ac:dyDescent="0.3">
      <c r="A178">
        <v>1177</v>
      </c>
      <c r="B178">
        <v>551</v>
      </c>
      <c r="C178" t="s">
        <v>137</v>
      </c>
      <c r="D178" s="5">
        <v>45501</v>
      </c>
      <c r="E178">
        <v>11</v>
      </c>
      <c r="F178" t="s">
        <v>135</v>
      </c>
    </row>
    <row r="179" spans="1:6" x14ac:dyDescent="0.3">
      <c r="A179">
        <v>1178</v>
      </c>
      <c r="B179">
        <v>529</v>
      </c>
      <c r="C179" t="s">
        <v>73</v>
      </c>
      <c r="D179" s="5">
        <v>45316</v>
      </c>
      <c r="E179">
        <v>3</v>
      </c>
      <c r="F179" t="s">
        <v>105</v>
      </c>
    </row>
    <row r="180" spans="1:6" x14ac:dyDescent="0.3">
      <c r="A180">
        <v>1179</v>
      </c>
      <c r="B180">
        <v>521</v>
      </c>
      <c r="C180" t="s">
        <v>173</v>
      </c>
      <c r="D180" s="5">
        <v>45594</v>
      </c>
      <c r="E180">
        <v>17</v>
      </c>
      <c r="F180" t="s">
        <v>135</v>
      </c>
    </row>
    <row r="181" spans="1:6" x14ac:dyDescent="0.3">
      <c r="A181">
        <v>1180</v>
      </c>
      <c r="B181">
        <v>663</v>
      </c>
      <c r="C181" t="s">
        <v>123</v>
      </c>
      <c r="D181" s="5">
        <v>45628</v>
      </c>
      <c r="E181">
        <v>7</v>
      </c>
      <c r="F181" t="s">
        <v>112</v>
      </c>
    </row>
    <row r="182" spans="1:6" x14ac:dyDescent="0.3">
      <c r="A182">
        <v>1181</v>
      </c>
      <c r="B182">
        <v>635</v>
      </c>
      <c r="C182" t="s">
        <v>7</v>
      </c>
      <c r="D182" s="5">
        <v>45526</v>
      </c>
      <c r="E182">
        <v>5</v>
      </c>
      <c r="F182" t="s">
        <v>41</v>
      </c>
    </row>
    <row r="183" spans="1:6" x14ac:dyDescent="0.3">
      <c r="A183">
        <v>1182</v>
      </c>
      <c r="B183">
        <v>528</v>
      </c>
      <c r="C183" t="s">
        <v>166</v>
      </c>
      <c r="D183" s="5">
        <v>45637</v>
      </c>
      <c r="E183">
        <v>9</v>
      </c>
      <c r="F183" t="s">
        <v>40</v>
      </c>
    </row>
    <row r="184" spans="1:6" x14ac:dyDescent="0.3">
      <c r="A184">
        <v>1183</v>
      </c>
      <c r="B184">
        <v>507</v>
      </c>
      <c r="C184" t="s">
        <v>145</v>
      </c>
      <c r="D184" s="5">
        <v>45435</v>
      </c>
      <c r="E184">
        <v>15</v>
      </c>
      <c r="F184" t="s">
        <v>135</v>
      </c>
    </row>
    <row r="185" spans="1:6" x14ac:dyDescent="0.3">
      <c r="A185">
        <v>1184</v>
      </c>
      <c r="B185">
        <v>698</v>
      </c>
      <c r="C185" t="s">
        <v>123</v>
      </c>
      <c r="D185" s="5">
        <v>45553</v>
      </c>
      <c r="E185">
        <v>5</v>
      </c>
      <c r="F185" t="s">
        <v>112</v>
      </c>
    </row>
    <row r="186" spans="1:6" x14ac:dyDescent="0.3">
      <c r="A186">
        <v>1185</v>
      </c>
      <c r="B186">
        <v>736</v>
      </c>
      <c r="C186" t="s">
        <v>10</v>
      </c>
      <c r="D186" s="5">
        <v>45316</v>
      </c>
      <c r="E186">
        <v>4</v>
      </c>
      <c r="F186" t="s">
        <v>44</v>
      </c>
    </row>
    <row r="187" spans="1:6" x14ac:dyDescent="0.3">
      <c r="A187">
        <v>1186</v>
      </c>
      <c r="B187">
        <v>501</v>
      </c>
      <c r="C187" t="s">
        <v>9</v>
      </c>
      <c r="D187" s="5">
        <v>45549</v>
      </c>
      <c r="E187">
        <v>8</v>
      </c>
      <c r="F187" t="s">
        <v>43</v>
      </c>
    </row>
    <row r="188" spans="1:6" x14ac:dyDescent="0.3">
      <c r="A188">
        <v>1187</v>
      </c>
      <c r="B188">
        <v>623</v>
      </c>
      <c r="C188" t="s">
        <v>142</v>
      </c>
      <c r="D188" s="5">
        <v>45426</v>
      </c>
      <c r="E188">
        <v>3</v>
      </c>
      <c r="F188" t="s">
        <v>43</v>
      </c>
    </row>
    <row r="189" spans="1:6" x14ac:dyDescent="0.3">
      <c r="A189">
        <v>1188</v>
      </c>
      <c r="B189">
        <v>649</v>
      </c>
      <c r="C189" t="s">
        <v>121</v>
      </c>
      <c r="D189" s="5">
        <v>45578</v>
      </c>
      <c r="E189">
        <v>20</v>
      </c>
      <c r="F189" t="s">
        <v>105</v>
      </c>
    </row>
    <row r="190" spans="1:6" x14ac:dyDescent="0.3">
      <c r="A190">
        <v>1189</v>
      </c>
      <c r="B190">
        <v>597</v>
      </c>
      <c r="C190" t="s">
        <v>169</v>
      </c>
      <c r="D190" s="5">
        <v>45635</v>
      </c>
      <c r="E190">
        <v>5</v>
      </c>
      <c r="F190" t="s">
        <v>171</v>
      </c>
    </row>
    <row r="191" spans="1:6" x14ac:dyDescent="0.3">
      <c r="A191">
        <v>1190</v>
      </c>
      <c r="B191">
        <v>563</v>
      </c>
      <c r="C191" t="s">
        <v>162</v>
      </c>
      <c r="D191" s="5">
        <v>45330</v>
      </c>
      <c r="E191">
        <v>10</v>
      </c>
      <c r="F191" t="s">
        <v>164</v>
      </c>
    </row>
    <row r="192" spans="1:6" x14ac:dyDescent="0.3">
      <c r="A192">
        <v>1191</v>
      </c>
      <c r="B192">
        <v>721</v>
      </c>
      <c r="C192" t="s">
        <v>126</v>
      </c>
      <c r="D192" s="5">
        <v>45401</v>
      </c>
      <c r="E192">
        <v>18</v>
      </c>
      <c r="F192" t="s">
        <v>42</v>
      </c>
    </row>
    <row r="193" spans="1:6" x14ac:dyDescent="0.3">
      <c r="A193">
        <v>1192</v>
      </c>
      <c r="B193">
        <v>551</v>
      </c>
      <c r="C193" t="s">
        <v>142</v>
      </c>
      <c r="D193" s="5">
        <v>45423</v>
      </c>
      <c r="E193">
        <v>12</v>
      </c>
      <c r="F193" t="s">
        <v>43</v>
      </c>
    </row>
    <row r="194" spans="1:6" x14ac:dyDescent="0.3">
      <c r="A194">
        <v>1193</v>
      </c>
      <c r="B194">
        <v>581</v>
      </c>
      <c r="C194" t="s">
        <v>154</v>
      </c>
      <c r="D194" s="5">
        <v>45387</v>
      </c>
      <c r="E194">
        <v>6</v>
      </c>
      <c r="F194" t="s">
        <v>152</v>
      </c>
    </row>
    <row r="195" spans="1:6" x14ac:dyDescent="0.3">
      <c r="A195">
        <v>1194</v>
      </c>
      <c r="B195">
        <v>645</v>
      </c>
      <c r="C195" t="s">
        <v>137</v>
      </c>
      <c r="D195" s="5">
        <v>45528</v>
      </c>
      <c r="E195">
        <v>9</v>
      </c>
      <c r="F195" t="s">
        <v>135</v>
      </c>
    </row>
    <row r="196" spans="1:6" x14ac:dyDescent="0.3">
      <c r="A196">
        <v>1195</v>
      </c>
      <c r="B196">
        <v>545</v>
      </c>
      <c r="C196" t="s">
        <v>114</v>
      </c>
      <c r="D196" s="5">
        <v>45365</v>
      </c>
      <c r="E196">
        <v>18</v>
      </c>
      <c r="F196" t="s">
        <v>40</v>
      </c>
    </row>
    <row r="197" spans="1:6" x14ac:dyDescent="0.3">
      <c r="A197">
        <v>1196</v>
      </c>
      <c r="B197">
        <v>603</v>
      </c>
      <c r="C197" t="s">
        <v>150</v>
      </c>
      <c r="D197" s="5">
        <v>45369</v>
      </c>
      <c r="E197">
        <v>15</v>
      </c>
      <c r="F197" t="s">
        <v>152</v>
      </c>
    </row>
    <row r="198" spans="1:6" x14ac:dyDescent="0.3">
      <c r="A198">
        <v>1197</v>
      </c>
      <c r="B198">
        <v>720</v>
      </c>
      <c r="C198" t="s">
        <v>114</v>
      </c>
      <c r="D198" s="5">
        <v>45416</v>
      </c>
      <c r="E198">
        <v>19</v>
      </c>
      <c r="F198" t="s">
        <v>40</v>
      </c>
    </row>
    <row r="199" spans="1:6" x14ac:dyDescent="0.3">
      <c r="A199">
        <v>1198</v>
      </c>
      <c r="B199">
        <v>747</v>
      </c>
      <c r="C199" t="s">
        <v>160</v>
      </c>
      <c r="D199" s="5">
        <v>45368</v>
      </c>
      <c r="E199">
        <v>3</v>
      </c>
      <c r="F199" t="s">
        <v>41</v>
      </c>
    </row>
    <row r="200" spans="1:6" x14ac:dyDescent="0.3">
      <c r="A200">
        <v>1199</v>
      </c>
      <c r="B200">
        <v>567</v>
      </c>
      <c r="C200" t="s">
        <v>126</v>
      </c>
      <c r="D200" s="5">
        <v>45430</v>
      </c>
      <c r="E200">
        <v>18</v>
      </c>
      <c r="F200" t="s">
        <v>42</v>
      </c>
    </row>
    <row r="201" spans="1:6" x14ac:dyDescent="0.3">
      <c r="A201">
        <v>1200</v>
      </c>
      <c r="B201">
        <v>579</v>
      </c>
      <c r="C201" t="s">
        <v>156</v>
      </c>
      <c r="D201" s="5">
        <v>45650</v>
      </c>
      <c r="E201">
        <v>15</v>
      </c>
      <c r="F201" t="s">
        <v>112</v>
      </c>
    </row>
    <row r="202" spans="1:6" x14ac:dyDescent="0.3">
      <c r="A202">
        <v>1201</v>
      </c>
      <c r="B202">
        <v>591</v>
      </c>
      <c r="C202" t="s">
        <v>73</v>
      </c>
      <c r="D202" s="5">
        <v>45644</v>
      </c>
      <c r="E202">
        <v>10</v>
      </c>
      <c r="F202" t="s">
        <v>105</v>
      </c>
    </row>
    <row r="203" spans="1:6" x14ac:dyDescent="0.3">
      <c r="A203">
        <v>1202</v>
      </c>
      <c r="B203">
        <v>610</v>
      </c>
      <c r="C203" t="s">
        <v>145</v>
      </c>
      <c r="D203" s="5">
        <v>45530</v>
      </c>
      <c r="E203">
        <v>16</v>
      </c>
      <c r="F203" t="s">
        <v>135</v>
      </c>
    </row>
    <row r="204" spans="1:6" x14ac:dyDescent="0.3">
      <c r="A204">
        <v>1203</v>
      </c>
      <c r="B204">
        <v>659</v>
      </c>
      <c r="C204" t="s">
        <v>137</v>
      </c>
      <c r="D204" s="5">
        <v>45325</v>
      </c>
      <c r="E204">
        <v>11</v>
      </c>
      <c r="F204" t="s">
        <v>135</v>
      </c>
    </row>
    <row r="205" spans="1:6" x14ac:dyDescent="0.3">
      <c r="A205">
        <v>1204</v>
      </c>
      <c r="B205">
        <v>536</v>
      </c>
      <c r="C205" t="s">
        <v>117</v>
      </c>
      <c r="D205" s="5">
        <v>45601</v>
      </c>
      <c r="E205">
        <v>8</v>
      </c>
      <c r="F205" t="s">
        <v>119</v>
      </c>
    </row>
    <row r="206" spans="1:6" x14ac:dyDescent="0.3">
      <c r="A206">
        <v>1205</v>
      </c>
      <c r="B206">
        <v>728</v>
      </c>
      <c r="C206" t="s">
        <v>117</v>
      </c>
      <c r="D206" s="5">
        <v>45638</v>
      </c>
      <c r="E206">
        <v>1</v>
      </c>
      <c r="F206" t="s">
        <v>119</v>
      </c>
    </row>
    <row r="207" spans="1:6" x14ac:dyDescent="0.3">
      <c r="A207">
        <v>1206</v>
      </c>
      <c r="B207">
        <v>624</v>
      </c>
      <c r="C207" t="s">
        <v>133</v>
      </c>
      <c r="D207" s="5">
        <v>45593</v>
      </c>
      <c r="E207">
        <v>5</v>
      </c>
      <c r="F207" t="s">
        <v>135</v>
      </c>
    </row>
    <row r="208" spans="1:6" x14ac:dyDescent="0.3">
      <c r="A208">
        <v>1207</v>
      </c>
      <c r="B208">
        <v>724</v>
      </c>
      <c r="C208" t="s">
        <v>169</v>
      </c>
      <c r="D208" s="5">
        <v>45333</v>
      </c>
      <c r="E208">
        <v>7</v>
      </c>
      <c r="F208" t="s">
        <v>171</v>
      </c>
    </row>
    <row r="209" spans="1:6" x14ac:dyDescent="0.3">
      <c r="A209">
        <v>1208</v>
      </c>
      <c r="B209">
        <v>649</v>
      </c>
      <c r="C209" t="s">
        <v>72</v>
      </c>
      <c r="D209" s="5">
        <v>45371</v>
      </c>
      <c r="E209">
        <v>3</v>
      </c>
      <c r="F209" t="s">
        <v>41</v>
      </c>
    </row>
    <row r="210" spans="1:6" x14ac:dyDescent="0.3">
      <c r="A210">
        <v>1209</v>
      </c>
      <c r="B210">
        <v>654</v>
      </c>
      <c r="C210" t="s">
        <v>150</v>
      </c>
      <c r="D210" s="5">
        <v>45521</v>
      </c>
      <c r="E210">
        <v>19</v>
      </c>
      <c r="F210" t="s">
        <v>152</v>
      </c>
    </row>
    <row r="211" spans="1:6" x14ac:dyDescent="0.3">
      <c r="A211">
        <v>1210</v>
      </c>
      <c r="B211">
        <v>556</v>
      </c>
      <c r="C211" t="s">
        <v>126</v>
      </c>
      <c r="D211" s="5">
        <v>45618</v>
      </c>
      <c r="E211">
        <v>17</v>
      </c>
      <c r="F211" t="s">
        <v>42</v>
      </c>
    </row>
    <row r="212" spans="1:6" x14ac:dyDescent="0.3">
      <c r="A212">
        <v>1211</v>
      </c>
      <c r="B212">
        <v>661</v>
      </c>
      <c r="C212" t="s">
        <v>166</v>
      </c>
      <c r="D212" s="5">
        <v>45309</v>
      </c>
      <c r="E212">
        <v>16</v>
      </c>
      <c r="F212" t="s">
        <v>40</v>
      </c>
    </row>
    <row r="213" spans="1:6" x14ac:dyDescent="0.3">
      <c r="A213">
        <v>1212</v>
      </c>
      <c r="B213">
        <v>599</v>
      </c>
      <c r="C213" t="s">
        <v>11</v>
      </c>
      <c r="D213" s="5">
        <v>45497</v>
      </c>
      <c r="E213">
        <v>7</v>
      </c>
      <c r="F213" t="s">
        <v>105</v>
      </c>
    </row>
    <row r="214" spans="1:6" x14ac:dyDescent="0.3">
      <c r="A214">
        <v>1213</v>
      </c>
      <c r="B214">
        <v>698</v>
      </c>
      <c r="C214" t="s">
        <v>123</v>
      </c>
      <c r="D214" s="5">
        <v>45551</v>
      </c>
      <c r="E214">
        <v>8</v>
      </c>
      <c r="F214" t="s">
        <v>112</v>
      </c>
    </row>
    <row r="215" spans="1:6" x14ac:dyDescent="0.3">
      <c r="A215">
        <v>1214</v>
      </c>
      <c r="B215">
        <v>545</v>
      </c>
      <c r="C215" t="s">
        <v>110</v>
      </c>
      <c r="D215" s="5">
        <v>45584</v>
      </c>
      <c r="E215">
        <v>18</v>
      </c>
      <c r="F215" t="s">
        <v>112</v>
      </c>
    </row>
    <row r="216" spans="1:6" x14ac:dyDescent="0.3">
      <c r="A216">
        <v>1215</v>
      </c>
      <c r="B216">
        <v>719</v>
      </c>
      <c r="C216" t="s">
        <v>117</v>
      </c>
      <c r="D216" s="5">
        <v>45502</v>
      </c>
      <c r="E216">
        <v>10</v>
      </c>
      <c r="F216" t="s">
        <v>119</v>
      </c>
    </row>
    <row r="217" spans="1:6" x14ac:dyDescent="0.3">
      <c r="A217">
        <v>1216</v>
      </c>
      <c r="B217">
        <v>597</v>
      </c>
      <c r="C217" t="s">
        <v>72</v>
      </c>
      <c r="D217" s="5">
        <v>45427</v>
      </c>
      <c r="E217">
        <v>7</v>
      </c>
      <c r="F217" t="s">
        <v>41</v>
      </c>
    </row>
    <row r="218" spans="1:6" x14ac:dyDescent="0.3">
      <c r="A218">
        <v>1217</v>
      </c>
      <c r="B218">
        <v>600</v>
      </c>
      <c r="C218" t="s">
        <v>150</v>
      </c>
      <c r="D218" s="5">
        <v>45564</v>
      </c>
      <c r="E218">
        <v>6</v>
      </c>
      <c r="F218" t="s">
        <v>152</v>
      </c>
    </row>
    <row r="219" spans="1:6" x14ac:dyDescent="0.3">
      <c r="A219">
        <v>1218</v>
      </c>
      <c r="B219">
        <v>628</v>
      </c>
      <c r="C219" t="s">
        <v>7</v>
      </c>
      <c r="D219" s="5">
        <v>45373</v>
      </c>
      <c r="E219">
        <v>11</v>
      </c>
      <c r="F219" t="s">
        <v>41</v>
      </c>
    </row>
    <row r="220" spans="1:6" x14ac:dyDescent="0.3">
      <c r="A220">
        <v>1219</v>
      </c>
      <c r="B220">
        <v>634</v>
      </c>
      <c r="C220" t="s">
        <v>72</v>
      </c>
      <c r="D220" s="5">
        <v>45596</v>
      </c>
      <c r="E220">
        <v>1</v>
      </c>
      <c r="F220" t="s">
        <v>41</v>
      </c>
    </row>
    <row r="221" spans="1:6" x14ac:dyDescent="0.3">
      <c r="A221">
        <v>1220</v>
      </c>
      <c r="B221">
        <v>534</v>
      </c>
      <c r="C221" t="s">
        <v>137</v>
      </c>
      <c r="D221" s="5">
        <v>45641</v>
      </c>
      <c r="E221">
        <v>17</v>
      </c>
      <c r="F221" t="s">
        <v>135</v>
      </c>
    </row>
    <row r="222" spans="1:6" x14ac:dyDescent="0.3">
      <c r="A222">
        <v>1221</v>
      </c>
      <c r="B222">
        <v>671</v>
      </c>
      <c r="C222" t="s">
        <v>121</v>
      </c>
      <c r="D222" s="5">
        <v>45408</v>
      </c>
      <c r="E222">
        <v>3</v>
      </c>
      <c r="F222" t="s">
        <v>105</v>
      </c>
    </row>
    <row r="223" spans="1:6" x14ac:dyDescent="0.3">
      <c r="A223">
        <v>1222</v>
      </c>
      <c r="B223">
        <v>510</v>
      </c>
      <c r="C223" t="s">
        <v>126</v>
      </c>
      <c r="D223" s="5">
        <v>45336</v>
      </c>
      <c r="E223">
        <v>7</v>
      </c>
      <c r="F223" t="s">
        <v>42</v>
      </c>
    </row>
    <row r="224" spans="1:6" x14ac:dyDescent="0.3">
      <c r="A224">
        <v>1223</v>
      </c>
      <c r="B224">
        <v>640</v>
      </c>
      <c r="C224" t="s">
        <v>154</v>
      </c>
      <c r="D224" s="5">
        <v>45375</v>
      </c>
      <c r="E224">
        <v>11</v>
      </c>
      <c r="F224" t="s">
        <v>152</v>
      </c>
    </row>
    <row r="225" spans="1:6" x14ac:dyDescent="0.3">
      <c r="A225">
        <v>1224</v>
      </c>
      <c r="B225">
        <v>626</v>
      </c>
      <c r="C225" t="s">
        <v>142</v>
      </c>
      <c r="D225" s="5">
        <v>45590</v>
      </c>
      <c r="E225">
        <v>5</v>
      </c>
      <c r="F225" t="s">
        <v>43</v>
      </c>
    </row>
    <row r="226" spans="1:6" x14ac:dyDescent="0.3">
      <c r="A226">
        <v>1225</v>
      </c>
      <c r="B226">
        <v>511</v>
      </c>
      <c r="C226" t="s">
        <v>9</v>
      </c>
      <c r="D226" s="5">
        <v>45349</v>
      </c>
      <c r="E226">
        <v>16</v>
      </c>
      <c r="F226" t="s">
        <v>43</v>
      </c>
    </row>
    <row r="227" spans="1:6" x14ac:dyDescent="0.3">
      <c r="A227">
        <v>1226</v>
      </c>
      <c r="B227">
        <v>518</v>
      </c>
      <c r="C227" t="s">
        <v>142</v>
      </c>
      <c r="D227" s="5">
        <v>45410</v>
      </c>
      <c r="E227">
        <v>16</v>
      </c>
      <c r="F227" t="s">
        <v>43</v>
      </c>
    </row>
    <row r="228" spans="1:6" x14ac:dyDescent="0.3">
      <c r="A228">
        <v>1227</v>
      </c>
      <c r="B228">
        <v>537</v>
      </c>
      <c r="C228" t="s">
        <v>169</v>
      </c>
      <c r="D228" s="5">
        <v>45412</v>
      </c>
      <c r="E228">
        <v>16</v>
      </c>
      <c r="F228" t="s">
        <v>171</v>
      </c>
    </row>
    <row r="229" spans="1:6" x14ac:dyDescent="0.3">
      <c r="A229">
        <v>1228</v>
      </c>
      <c r="B229">
        <v>557</v>
      </c>
      <c r="C229" t="s">
        <v>117</v>
      </c>
      <c r="D229" s="5">
        <v>45433</v>
      </c>
      <c r="E229">
        <v>11</v>
      </c>
      <c r="F229" t="s">
        <v>119</v>
      </c>
    </row>
    <row r="230" spans="1:6" x14ac:dyDescent="0.3">
      <c r="A230">
        <v>1229</v>
      </c>
      <c r="B230">
        <v>532</v>
      </c>
      <c r="C230" t="s">
        <v>10</v>
      </c>
      <c r="D230" s="5">
        <v>45491</v>
      </c>
      <c r="E230">
        <v>19</v>
      </c>
      <c r="F230" t="s">
        <v>44</v>
      </c>
    </row>
    <row r="231" spans="1:6" x14ac:dyDescent="0.3">
      <c r="A231">
        <v>1230</v>
      </c>
      <c r="B231">
        <v>689</v>
      </c>
      <c r="C231" t="s">
        <v>10</v>
      </c>
      <c r="D231" s="5">
        <v>45509</v>
      </c>
      <c r="E231">
        <v>4</v>
      </c>
      <c r="F231" t="s">
        <v>44</v>
      </c>
    </row>
    <row r="232" spans="1:6" x14ac:dyDescent="0.3">
      <c r="A232">
        <v>1231</v>
      </c>
      <c r="B232">
        <v>695</v>
      </c>
      <c r="C232" t="s">
        <v>154</v>
      </c>
      <c r="D232" s="5">
        <v>45531</v>
      </c>
      <c r="E232">
        <v>18</v>
      </c>
      <c r="F232" t="s">
        <v>152</v>
      </c>
    </row>
    <row r="233" spans="1:6" x14ac:dyDescent="0.3">
      <c r="A233">
        <v>1232</v>
      </c>
      <c r="B233">
        <v>669</v>
      </c>
      <c r="C233" t="s">
        <v>117</v>
      </c>
      <c r="D233" s="5">
        <v>45418</v>
      </c>
      <c r="E233">
        <v>6</v>
      </c>
      <c r="F233" t="s">
        <v>119</v>
      </c>
    </row>
    <row r="234" spans="1:6" x14ac:dyDescent="0.3">
      <c r="A234">
        <v>1233</v>
      </c>
      <c r="B234">
        <v>511</v>
      </c>
      <c r="C234" t="s">
        <v>117</v>
      </c>
      <c r="D234" s="5">
        <v>45496</v>
      </c>
      <c r="E234">
        <v>19</v>
      </c>
      <c r="F234" t="s">
        <v>119</v>
      </c>
    </row>
    <row r="235" spans="1:6" x14ac:dyDescent="0.3">
      <c r="A235">
        <v>1234</v>
      </c>
      <c r="B235">
        <v>505</v>
      </c>
      <c r="C235" t="s">
        <v>173</v>
      </c>
      <c r="D235" s="5">
        <v>45455</v>
      </c>
      <c r="E235">
        <v>4</v>
      </c>
      <c r="F235" t="s">
        <v>135</v>
      </c>
    </row>
    <row r="236" spans="1:6" x14ac:dyDescent="0.3">
      <c r="A236">
        <v>1235</v>
      </c>
      <c r="B236">
        <v>520</v>
      </c>
      <c r="C236" t="s">
        <v>175</v>
      </c>
      <c r="D236" s="5">
        <v>45362</v>
      </c>
      <c r="E236">
        <v>12</v>
      </c>
      <c r="F236" t="s">
        <v>105</v>
      </c>
    </row>
    <row r="237" spans="1:6" x14ac:dyDescent="0.3">
      <c r="A237">
        <v>1236</v>
      </c>
      <c r="B237">
        <v>637</v>
      </c>
      <c r="C237" t="s">
        <v>133</v>
      </c>
      <c r="D237" s="5">
        <v>45327</v>
      </c>
      <c r="E237">
        <v>2</v>
      </c>
      <c r="F237" t="s">
        <v>135</v>
      </c>
    </row>
    <row r="238" spans="1:6" x14ac:dyDescent="0.3">
      <c r="A238">
        <v>1237</v>
      </c>
      <c r="B238">
        <v>689</v>
      </c>
      <c r="C238" t="s">
        <v>117</v>
      </c>
      <c r="D238" s="5">
        <v>45561</v>
      </c>
      <c r="E238">
        <v>1</v>
      </c>
      <c r="F238" t="s">
        <v>119</v>
      </c>
    </row>
    <row r="239" spans="1:6" x14ac:dyDescent="0.3">
      <c r="A239">
        <v>1238</v>
      </c>
      <c r="B239">
        <v>719</v>
      </c>
      <c r="C239" t="s">
        <v>8</v>
      </c>
      <c r="D239" s="5">
        <v>45523</v>
      </c>
      <c r="E239">
        <v>3</v>
      </c>
      <c r="F239" t="s">
        <v>42</v>
      </c>
    </row>
    <row r="240" spans="1:6" x14ac:dyDescent="0.3">
      <c r="A240">
        <v>1239</v>
      </c>
      <c r="B240">
        <v>537</v>
      </c>
      <c r="C240" t="s">
        <v>158</v>
      </c>
      <c r="D240" s="5">
        <v>45444</v>
      </c>
      <c r="E240">
        <v>1</v>
      </c>
      <c r="F240" t="s">
        <v>112</v>
      </c>
    </row>
    <row r="241" spans="1:6" x14ac:dyDescent="0.3">
      <c r="A241">
        <v>1240</v>
      </c>
      <c r="B241">
        <v>657</v>
      </c>
      <c r="C241" t="s">
        <v>9</v>
      </c>
      <c r="D241" s="5">
        <v>45635</v>
      </c>
      <c r="E241">
        <v>16</v>
      </c>
      <c r="F241" t="s">
        <v>43</v>
      </c>
    </row>
    <row r="242" spans="1:6" x14ac:dyDescent="0.3">
      <c r="A242">
        <v>1241</v>
      </c>
      <c r="B242">
        <v>698</v>
      </c>
      <c r="C242" t="s">
        <v>10</v>
      </c>
      <c r="D242" s="5">
        <v>45394</v>
      </c>
      <c r="E242">
        <v>13</v>
      </c>
      <c r="F242" t="s">
        <v>44</v>
      </c>
    </row>
    <row r="243" spans="1:6" x14ac:dyDescent="0.3">
      <c r="A243">
        <v>1242</v>
      </c>
      <c r="B243">
        <v>556</v>
      </c>
      <c r="C243" t="s">
        <v>150</v>
      </c>
      <c r="D243" s="5">
        <v>45308</v>
      </c>
      <c r="E243">
        <v>12</v>
      </c>
      <c r="F243" t="s">
        <v>152</v>
      </c>
    </row>
    <row r="244" spans="1:6" x14ac:dyDescent="0.3">
      <c r="A244">
        <v>1243</v>
      </c>
      <c r="B244">
        <v>595</v>
      </c>
      <c r="C244" t="s">
        <v>73</v>
      </c>
      <c r="D244" s="5">
        <v>45500</v>
      </c>
      <c r="E244">
        <v>20</v>
      </c>
      <c r="F244" t="s">
        <v>105</v>
      </c>
    </row>
    <row r="245" spans="1:6" x14ac:dyDescent="0.3">
      <c r="A245">
        <v>1244</v>
      </c>
      <c r="B245">
        <v>666</v>
      </c>
      <c r="C245" t="s">
        <v>6</v>
      </c>
      <c r="D245" s="5">
        <v>45344</v>
      </c>
      <c r="E245">
        <v>17</v>
      </c>
      <c r="F245" t="s">
        <v>40</v>
      </c>
    </row>
    <row r="246" spans="1:6" x14ac:dyDescent="0.3">
      <c r="A246">
        <v>1245</v>
      </c>
      <c r="B246">
        <v>689</v>
      </c>
      <c r="C246" t="s">
        <v>117</v>
      </c>
      <c r="D246" s="5">
        <v>45400</v>
      </c>
      <c r="E246">
        <v>11</v>
      </c>
      <c r="F246" t="s">
        <v>119</v>
      </c>
    </row>
    <row r="247" spans="1:6" x14ac:dyDescent="0.3">
      <c r="A247">
        <v>1246</v>
      </c>
      <c r="B247">
        <v>617</v>
      </c>
      <c r="C247" t="s">
        <v>11</v>
      </c>
      <c r="D247" s="5">
        <v>45440</v>
      </c>
      <c r="E247">
        <v>1</v>
      </c>
      <c r="F247" t="s">
        <v>105</v>
      </c>
    </row>
    <row r="248" spans="1:6" x14ac:dyDescent="0.3">
      <c r="A248">
        <v>1247</v>
      </c>
      <c r="B248">
        <v>746</v>
      </c>
      <c r="C248" t="s">
        <v>9</v>
      </c>
      <c r="D248" s="5">
        <v>45460</v>
      </c>
      <c r="E248">
        <v>18</v>
      </c>
      <c r="F248" t="s">
        <v>43</v>
      </c>
    </row>
    <row r="249" spans="1:6" x14ac:dyDescent="0.3">
      <c r="A249">
        <v>1248</v>
      </c>
      <c r="B249">
        <v>645</v>
      </c>
      <c r="C249" t="s">
        <v>178</v>
      </c>
      <c r="D249" s="5">
        <v>45577</v>
      </c>
      <c r="E249">
        <v>20</v>
      </c>
      <c r="F249" t="s">
        <v>105</v>
      </c>
    </row>
    <row r="250" spans="1:6" x14ac:dyDescent="0.3">
      <c r="A250">
        <v>1249</v>
      </c>
      <c r="B250">
        <v>709</v>
      </c>
      <c r="C250" t="s">
        <v>184</v>
      </c>
      <c r="D250" s="5">
        <v>45337</v>
      </c>
      <c r="E250">
        <v>17</v>
      </c>
      <c r="F250" t="s">
        <v>131</v>
      </c>
    </row>
    <row r="251" spans="1:6" x14ac:dyDescent="0.3">
      <c r="A251">
        <v>1250</v>
      </c>
      <c r="B251">
        <v>587</v>
      </c>
      <c r="C251" t="s">
        <v>126</v>
      </c>
      <c r="D251" s="5">
        <v>45630</v>
      </c>
      <c r="E251">
        <v>14</v>
      </c>
      <c r="F251" t="s">
        <v>42</v>
      </c>
    </row>
    <row r="252" spans="1:6" x14ac:dyDescent="0.3">
      <c r="A252">
        <v>1251</v>
      </c>
      <c r="B252">
        <v>655</v>
      </c>
      <c r="C252" t="s">
        <v>121</v>
      </c>
      <c r="D252" s="5">
        <v>45612</v>
      </c>
      <c r="E252">
        <v>18</v>
      </c>
      <c r="F252" t="s">
        <v>105</v>
      </c>
    </row>
    <row r="253" spans="1:6" x14ac:dyDescent="0.3">
      <c r="A253">
        <v>1252</v>
      </c>
      <c r="B253">
        <v>679</v>
      </c>
      <c r="C253" t="s">
        <v>9</v>
      </c>
      <c r="D253" s="5">
        <v>45631</v>
      </c>
      <c r="E253">
        <v>2</v>
      </c>
      <c r="F253" t="s">
        <v>43</v>
      </c>
    </row>
    <row r="254" spans="1:6" x14ac:dyDescent="0.3">
      <c r="A254">
        <v>1253</v>
      </c>
      <c r="B254">
        <v>510</v>
      </c>
      <c r="C254" t="s">
        <v>129</v>
      </c>
      <c r="D254" s="5">
        <v>45481</v>
      </c>
      <c r="E254">
        <v>16</v>
      </c>
      <c r="F254" t="s">
        <v>131</v>
      </c>
    </row>
    <row r="255" spans="1:6" x14ac:dyDescent="0.3">
      <c r="A255">
        <v>1254</v>
      </c>
      <c r="B255">
        <v>667</v>
      </c>
      <c r="C255" t="s">
        <v>156</v>
      </c>
      <c r="D255" s="5">
        <v>45343</v>
      </c>
      <c r="E255">
        <v>7</v>
      </c>
      <c r="F255" t="s">
        <v>112</v>
      </c>
    </row>
    <row r="256" spans="1:6" x14ac:dyDescent="0.3">
      <c r="A256">
        <v>1255</v>
      </c>
      <c r="B256">
        <v>556</v>
      </c>
      <c r="C256" t="s">
        <v>169</v>
      </c>
      <c r="D256" s="5">
        <v>45516</v>
      </c>
      <c r="E256">
        <v>20</v>
      </c>
      <c r="F256" t="s">
        <v>171</v>
      </c>
    </row>
    <row r="257" spans="1:6" x14ac:dyDescent="0.3">
      <c r="A257">
        <v>1256</v>
      </c>
      <c r="B257">
        <v>548</v>
      </c>
      <c r="C257" t="s">
        <v>137</v>
      </c>
      <c r="D257" s="5">
        <v>45397</v>
      </c>
      <c r="E257">
        <v>14</v>
      </c>
      <c r="F257" t="s">
        <v>135</v>
      </c>
    </row>
    <row r="258" spans="1:6" x14ac:dyDescent="0.3">
      <c r="A258">
        <v>1257</v>
      </c>
      <c r="B258">
        <v>647</v>
      </c>
      <c r="C258" t="s">
        <v>11</v>
      </c>
      <c r="D258" s="5">
        <v>45503</v>
      </c>
      <c r="E258">
        <v>9</v>
      </c>
      <c r="F258" t="s">
        <v>105</v>
      </c>
    </row>
    <row r="259" spans="1:6" x14ac:dyDescent="0.3">
      <c r="A259">
        <v>1258</v>
      </c>
      <c r="B259">
        <v>747</v>
      </c>
      <c r="C259" t="s">
        <v>9</v>
      </c>
      <c r="D259" s="5">
        <v>45358</v>
      </c>
      <c r="E259">
        <v>2</v>
      </c>
      <c r="F259" t="s">
        <v>43</v>
      </c>
    </row>
    <row r="260" spans="1:6" x14ac:dyDescent="0.3">
      <c r="A260">
        <v>1259</v>
      </c>
      <c r="B260">
        <v>715</v>
      </c>
      <c r="C260" t="s">
        <v>142</v>
      </c>
      <c r="D260" s="5">
        <v>45612</v>
      </c>
      <c r="E260">
        <v>19</v>
      </c>
      <c r="F260" t="s">
        <v>43</v>
      </c>
    </row>
    <row r="261" spans="1:6" x14ac:dyDescent="0.3">
      <c r="A261">
        <v>1260</v>
      </c>
      <c r="B261">
        <v>651</v>
      </c>
      <c r="C261" t="s">
        <v>175</v>
      </c>
      <c r="D261" s="5">
        <v>45517</v>
      </c>
      <c r="E261">
        <v>3</v>
      </c>
      <c r="F261" t="s">
        <v>105</v>
      </c>
    </row>
    <row r="262" spans="1:6" x14ac:dyDescent="0.3">
      <c r="A262">
        <v>1261</v>
      </c>
      <c r="B262">
        <v>546</v>
      </c>
      <c r="C262" t="s">
        <v>160</v>
      </c>
      <c r="D262" s="5">
        <v>45319</v>
      </c>
      <c r="E262">
        <v>4</v>
      </c>
      <c r="F262" t="s">
        <v>41</v>
      </c>
    </row>
    <row r="263" spans="1:6" x14ac:dyDescent="0.3">
      <c r="A263">
        <v>1262</v>
      </c>
      <c r="B263">
        <v>674</v>
      </c>
      <c r="C263" t="s">
        <v>140</v>
      </c>
      <c r="D263" s="5">
        <v>45348</v>
      </c>
      <c r="E263">
        <v>8</v>
      </c>
      <c r="F263" t="s">
        <v>41</v>
      </c>
    </row>
    <row r="264" spans="1:6" x14ac:dyDescent="0.3">
      <c r="A264">
        <v>1263</v>
      </c>
      <c r="B264">
        <v>662</v>
      </c>
      <c r="C264" t="s">
        <v>158</v>
      </c>
      <c r="D264" s="5">
        <v>45342</v>
      </c>
      <c r="E264">
        <v>1</v>
      </c>
      <c r="F264" t="s">
        <v>112</v>
      </c>
    </row>
    <row r="265" spans="1:6" x14ac:dyDescent="0.3">
      <c r="A265">
        <v>1264</v>
      </c>
      <c r="B265">
        <v>677</v>
      </c>
      <c r="C265" t="s">
        <v>117</v>
      </c>
      <c r="D265" s="5">
        <v>45319</v>
      </c>
      <c r="E265">
        <v>12</v>
      </c>
      <c r="F265" t="s">
        <v>119</v>
      </c>
    </row>
    <row r="266" spans="1:6" x14ac:dyDescent="0.3">
      <c r="A266">
        <v>1265</v>
      </c>
      <c r="B266">
        <v>735</v>
      </c>
      <c r="C266" t="s">
        <v>10</v>
      </c>
      <c r="D266" s="5">
        <v>45559</v>
      </c>
      <c r="E266">
        <v>11</v>
      </c>
      <c r="F266" t="s">
        <v>44</v>
      </c>
    </row>
    <row r="267" spans="1:6" x14ac:dyDescent="0.3">
      <c r="A267">
        <v>1266</v>
      </c>
      <c r="B267">
        <v>582</v>
      </c>
      <c r="C267" t="s">
        <v>7</v>
      </c>
      <c r="D267" s="5">
        <v>45298</v>
      </c>
      <c r="E267">
        <v>16</v>
      </c>
      <c r="F267" t="s">
        <v>41</v>
      </c>
    </row>
    <row r="268" spans="1:6" x14ac:dyDescent="0.3">
      <c r="A268">
        <v>1267</v>
      </c>
      <c r="B268">
        <v>614</v>
      </c>
      <c r="C268" t="s">
        <v>162</v>
      </c>
      <c r="D268" s="5">
        <v>45506</v>
      </c>
      <c r="E268">
        <v>15</v>
      </c>
      <c r="F268" t="s">
        <v>164</v>
      </c>
    </row>
    <row r="269" spans="1:6" x14ac:dyDescent="0.3">
      <c r="A269">
        <v>1268</v>
      </c>
      <c r="B269">
        <v>518</v>
      </c>
      <c r="C269" t="s">
        <v>140</v>
      </c>
      <c r="D269" s="5">
        <v>45484</v>
      </c>
      <c r="E269">
        <v>8</v>
      </c>
      <c r="F269" t="s">
        <v>41</v>
      </c>
    </row>
    <row r="270" spans="1:6" x14ac:dyDescent="0.3">
      <c r="A270">
        <v>1269</v>
      </c>
      <c r="B270">
        <v>527</v>
      </c>
      <c r="C270" t="s">
        <v>9</v>
      </c>
      <c r="D270" s="5">
        <v>45566</v>
      </c>
      <c r="E270">
        <v>14</v>
      </c>
      <c r="F270" t="s">
        <v>43</v>
      </c>
    </row>
    <row r="271" spans="1:6" x14ac:dyDescent="0.3">
      <c r="A271">
        <v>1270</v>
      </c>
      <c r="B271">
        <v>593</v>
      </c>
      <c r="C271" t="s">
        <v>166</v>
      </c>
      <c r="D271" s="5">
        <v>45385</v>
      </c>
      <c r="E271">
        <v>2</v>
      </c>
      <c r="F271" t="s">
        <v>40</v>
      </c>
    </row>
    <row r="272" spans="1:6" x14ac:dyDescent="0.3">
      <c r="A272">
        <v>1271</v>
      </c>
      <c r="B272">
        <v>527</v>
      </c>
      <c r="C272" t="s">
        <v>173</v>
      </c>
      <c r="D272" s="5">
        <v>45300</v>
      </c>
      <c r="E272">
        <v>3</v>
      </c>
      <c r="F272" t="s">
        <v>135</v>
      </c>
    </row>
    <row r="273" spans="1:6" x14ac:dyDescent="0.3">
      <c r="A273">
        <v>1272</v>
      </c>
      <c r="B273">
        <v>581</v>
      </c>
      <c r="C273" t="s">
        <v>166</v>
      </c>
      <c r="D273" s="5">
        <v>45381</v>
      </c>
      <c r="E273">
        <v>10</v>
      </c>
      <c r="F273" t="s">
        <v>40</v>
      </c>
    </row>
    <row r="274" spans="1:6" x14ac:dyDescent="0.3">
      <c r="A274">
        <v>1273</v>
      </c>
      <c r="B274">
        <v>609</v>
      </c>
      <c r="C274" t="s">
        <v>140</v>
      </c>
      <c r="D274" s="5">
        <v>45531</v>
      </c>
      <c r="E274">
        <v>19</v>
      </c>
      <c r="F274" t="s">
        <v>41</v>
      </c>
    </row>
    <row r="275" spans="1:6" x14ac:dyDescent="0.3">
      <c r="A275">
        <v>1274</v>
      </c>
      <c r="B275">
        <v>530</v>
      </c>
      <c r="C275" t="s">
        <v>178</v>
      </c>
      <c r="D275" s="5">
        <v>45357</v>
      </c>
      <c r="E275">
        <v>6</v>
      </c>
      <c r="F275" t="s">
        <v>105</v>
      </c>
    </row>
    <row r="276" spans="1:6" x14ac:dyDescent="0.3">
      <c r="A276">
        <v>1275</v>
      </c>
      <c r="B276">
        <v>637</v>
      </c>
      <c r="C276" t="s">
        <v>8</v>
      </c>
      <c r="D276" s="5">
        <v>45470</v>
      </c>
      <c r="E276">
        <v>15</v>
      </c>
      <c r="F276" t="s">
        <v>42</v>
      </c>
    </row>
    <row r="277" spans="1:6" x14ac:dyDescent="0.3">
      <c r="A277">
        <v>1276</v>
      </c>
      <c r="B277">
        <v>702</v>
      </c>
      <c r="C277" t="s">
        <v>166</v>
      </c>
      <c r="D277" s="5">
        <v>45422</v>
      </c>
      <c r="E277">
        <v>15</v>
      </c>
      <c r="F277" t="s">
        <v>40</v>
      </c>
    </row>
    <row r="278" spans="1:6" x14ac:dyDescent="0.3">
      <c r="A278">
        <v>1277</v>
      </c>
      <c r="B278">
        <v>532</v>
      </c>
      <c r="C278" t="s">
        <v>175</v>
      </c>
      <c r="D278" s="5">
        <v>45422</v>
      </c>
      <c r="E278">
        <v>1</v>
      </c>
      <c r="F278" t="s">
        <v>105</v>
      </c>
    </row>
    <row r="279" spans="1:6" x14ac:dyDescent="0.3">
      <c r="A279">
        <v>1278</v>
      </c>
      <c r="B279">
        <v>573</v>
      </c>
      <c r="C279" t="s">
        <v>175</v>
      </c>
      <c r="D279" s="5">
        <v>45479</v>
      </c>
      <c r="E279">
        <v>4</v>
      </c>
      <c r="F279" t="s">
        <v>105</v>
      </c>
    </row>
    <row r="280" spans="1:6" x14ac:dyDescent="0.3">
      <c r="A280">
        <v>1279</v>
      </c>
      <c r="B280">
        <v>716</v>
      </c>
      <c r="C280" t="s">
        <v>184</v>
      </c>
      <c r="D280" s="5">
        <v>45591</v>
      </c>
      <c r="E280">
        <v>7</v>
      </c>
      <c r="F280" t="s">
        <v>131</v>
      </c>
    </row>
    <row r="281" spans="1:6" x14ac:dyDescent="0.3">
      <c r="A281">
        <v>1280</v>
      </c>
      <c r="B281">
        <v>701</v>
      </c>
      <c r="C281" t="s">
        <v>175</v>
      </c>
      <c r="D281" s="5">
        <v>45346</v>
      </c>
      <c r="E281">
        <v>12</v>
      </c>
      <c r="F281" t="s">
        <v>105</v>
      </c>
    </row>
    <row r="282" spans="1:6" x14ac:dyDescent="0.3">
      <c r="A282">
        <v>1281</v>
      </c>
      <c r="B282">
        <v>603</v>
      </c>
      <c r="C282" t="s">
        <v>137</v>
      </c>
      <c r="D282" s="5">
        <v>45330</v>
      </c>
      <c r="E282">
        <v>3</v>
      </c>
      <c r="F282" t="s">
        <v>135</v>
      </c>
    </row>
    <row r="283" spans="1:6" x14ac:dyDescent="0.3">
      <c r="A283">
        <v>1282</v>
      </c>
      <c r="B283">
        <v>614</v>
      </c>
      <c r="C283" t="s">
        <v>160</v>
      </c>
      <c r="D283" s="5">
        <v>45409</v>
      </c>
      <c r="E283">
        <v>11</v>
      </c>
      <c r="F283" t="s">
        <v>41</v>
      </c>
    </row>
    <row r="284" spans="1:6" x14ac:dyDescent="0.3">
      <c r="A284">
        <v>1283</v>
      </c>
      <c r="B284">
        <v>566</v>
      </c>
      <c r="C284" t="s">
        <v>173</v>
      </c>
      <c r="D284" s="5">
        <v>45393</v>
      </c>
      <c r="E284">
        <v>4</v>
      </c>
      <c r="F284" t="s">
        <v>135</v>
      </c>
    </row>
    <row r="285" spans="1:6" x14ac:dyDescent="0.3">
      <c r="A285">
        <v>1284</v>
      </c>
      <c r="B285">
        <v>507</v>
      </c>
      <c r="C285" t="s">
        <v>126</v>
      </c>
      <c r="D285" s="5">
        <v>45543</v>
      </c>
      <c r="E285">
        <v>20</v>
      </c>
      <c r="F285" t="s">
        <v>42</v>
      </c>
    </row>
    <row r="286" spans="1:6" x14ac:dyDescent="0.3">
      <c r="A286">
        <v>1285</v>
      </c>
      <c r="B286">
        <v>538</v>
      </c>
      <c r="C286" t="s">
        <v>10</v>
      </c>
      <c r="D286" s="5">
        <v>45486</v>
      </c>
      <c r="E286">
        <v>10</v>
      </c>
      <c r="F286" t="s">
        <v>44</v>
      </c>
    </row>
    <row r="287" spans="1:6" x14ac:dyDescent="0.3">
      <c r="A287">
        <v>1286</v>
      </c>
      <c r="B287">
        <v>660</v>
      </c>
      <c r="C287" t="s">
        <v>129</v>
      </c>
      <c r="D287" s="5">
        <v>45353</v>
      </c>
      <c r="E287">
        <v>13</v>
      </c>
      <c r="F287" t="s">
        <v>131</v>
      </c>
    </row>
    <row r="288" spans="1:6" x14ac:dyDescent="0.3">
      <c r="A288">
        <v>1287</v>
      </c>
      <c r="B288">
        <v>719</v>
      </c>
      <c r="C288" t="s">
        <v>8</v>
      </c>
      <c r="D288" s="5">
        <v>45448</v>
      </c>
      <c r="E288">
        <v>6</v>
      </c>
      <c r="F288" t="s">
        <v>42</v>
      </c>
    </row>
    <row r="289" spans="1:6" x14ac:dyDescent="0.3">
      <c r="A289">
        <v>1288</v>
      </c>
      <c r="B289">
        <v>728</v>
      </c>
      <c r="C289" t="s">
        <v>156</v>
      </c>
      <c r="D289" s="5">
        <v>45295</v>
      </c>
      <c r="E289">
        <v>17</v>
      </c>
      <c r="F289" t="s">
        <v>112</v>
      </c>
    </row>
    <row r="290" spans="1:6" x14ac:dyDescent="0.3">
      <c r="A290">
        <v>1289</v>
      </c>
      <c r="B290">
        <v>679</v>
      </c>
      <c r="C290" t="s">
        <v>158</v>
      </c>
      <c r="D290" s="5">
        <v>45437</v>
      </c>
      <c r="E290">
        <v>10</v>
      </c>
      <c r="F290" t="s">
        <v>112</v>
      </c>
    </row>
    <row r="291" spans="1:6" x14ac:dyDescent="0.3">
      <c r="A291">
        <v>1290</v>
      </c>
      <c r="B291">
        <v>739</v>
      </c>
      <c r="C291" t="s">
        <v>162</v>
      </c>
      <c r="D291" s="5">
        <v>45655</v>
      </c>
      <c r="E291">
        <v>16</v>
      </c>
      <c r="F291" t="s">
        <v>164</v>
      </c>
    </row>
    <row r="292" spans="1:6" x14ac:dyDescent="0.3">
      <c r="A292">
        <v>1291</v>
      </c>
      <c r="B292">
        <v>620</v>
      </c>
      <c r="C292" t="s">
        <v>123</v>
      </c>
      <c r="D292" s="5">
        <v>45409</v>
      </c>
      <c r="E292">
        <v>6</v>
      </c>
      <c r="F292" t="s">
        <v>112</v>
      </c>
    </row>
    <row r="293" spans="1:6" x14ac:dyDescent="0.3">
      <c r="A293">
        <v>1292</v>
      </c>
      <c r="B293">
        <v>733</v>
      </c>
      <c r="C293" t="s">
        <v>7</v>
      </c>
      <c r="D293" s="5">
        <v>45564</v>
      </c>
      <c r="E293">
        <v>6</v>
      </c>
      <c r="F293" t="s">
        <v>41</v>
      </c>
    </row>
    <row r="294" spans="1:6" x14ac:dyDescent="0.3">
      <c r="A294">
        <v>1293</v>
      </c>
      <c r="B294">
        <v>580</v>
      </c>
      <c r="C294" t="s">
        <v>160</v>
      </c>
      <c r="D294" s="5">
        <v>45610</v>
      </c>
      <c r="E294">
        <v>15</v>
      </c>
      <c r="F294" t="s">
        <v>41</v>
      </c>
    </row>
    <row r="295" spans="1:6" x14ac:dyDescent="0.3">
      <c r="A295">
        <v>1294</v>
      </c>
      <c r="B295">
        <v>677</v>
      </c>
      <c r="C295" t="s">
        <v>175</v>
      </c>
      <c r="D295" s="5">
        <v>45429</v>
      </c>
      <c r="E295">
        <v>12</v>
      </c>
      <c r="F295" t="s">
        <v>105</v>
      </c>
    </row>
    <row r="296" spans="1:6" x14ac:dyDescent="0.3">
      <c r="A296">
        <v>1295</v>
      </c>
      <c r="B296">
        <v>704</v>
      </c>
      <c r="C296" t="s">
        <v>10</v>
      </c>
      <c r="D296" s="5">
        <v>45430</v>
      </c>
      <c r="E296">
        <v>15</v>
      </c>
      <c r="F296" t="s">
        <v>44</v>
      </c>
    </row>
    <row r="297" spans="1:6" x14ac:dyDescent="0.3">
      <c r="A297">
        <v>1296</v>
      </c>
      <c r="B297">
        <v>632</v>
      </c>
      <c r="C297" t="s">
        <v>9</v>
      </c>
      <c r="D297" s="5">
        <v>45461</v>
      </c>
      <c r="E297">
        <v>12</v>
      </c>
      <c r="F297" t="s">
        <v>43</v>
      </c>
    </row>
    <row r="298" spans="1:6" x14ac:dyDescent="0.3">
      <c r="A298">
        <v>1297</v>
      </c>
      <c r="B298">
        <v>660</v>
      </c>
      <c r="C298" t="s">
        <v>178</v>
      </c>
      <c r="D298" s="5">
        <v>45485</v>
      </c>
      <c r="E298">
        <v>11</v>
      </c>
      <c r="F298" t="s">
        <v>105</v>
      </c>
    </row>
    <row r="299" spans="1:6" x14ac:dyDescent="0.3">
      <c r="A299">
        <v>1298</v>
      </c>
      <c r="B299">
        <v>541</v>
      </c>
      <c r="C299" t="s">
        <v>123</v>
      </c>
      <c r="D299" s="5">
        <v>45409</v>
      </c>
      <c r="E299">
        <v>1</v>
      </c>
      <c r="F299" t="s">
        <v>112</v>
      </c>
    </row>
    <row r="300" spans="1:6" x14ac:dyDescent="0.3">
      <c r="A300">
        <v>1299</v>
      </c>
      <c r="B300">
        <v>590</v>
      </c>
      <c r="C300" t="s">
        <v>129</v>
      </c>
      <c r="D300" s="5">
        <v>45461</v>
      </c>
      <c r="E300">
        <v>3</v>
      </c>
      <c r="F300" t="s">
        <v>131</v>
      </c>
    </row>
    <row r="301" spans="1:6" x14ac:dyDescent="0.3">
      <c r="A301">
        <v>1300</v>
      </c>
      <c r="B301">
        <v>624</v>
      </c>
      <c r="C301" t="s">
        <v>126</v>
      </c>
      <c r="D301" s="5">
        <v>45343</v>
      </c>
      <c r="E301">
        <v>2</v>
      </c>
      <c r="F301" t="s">
        <v>42</v>
      </c>
    </row>
    <row r="302" spans="1:6" x14ac:dyDescent="0.3">
      <c r="A302">
        <v>1301</v>
      </c>
      <c r="B302">
        <v>574</v>
      </c>
      <c r="C302" t="s">
        <v>148</v>
      </c>
      <c r="D302" s="5">
        <v>45515</v>
      </c>
      <c r="E302">
        <v>3</v>
      </c>
      <c r="F302" t="s">
        <v>105</v>
      </c>
    </row>
    <row r="303" spans="1:6" x14ac:dyDescent="0.3">
      <c r="A303">
        <v>1302</v>
      </c>
      <c r="B303">
        <v>599</v>
      </c>
      <c r="C303" t="s">
        <v>11</v>
      </c>
      <c r="D303" s="5">
        <v>45545</v>
      </c>
      <c r="E303">
        <v>7</v>
      </c>
      <c r="F303" t="s">
        <v>105</v>
      </c>
    </row>
    <row r="304" spans="1:6" x14ac:dyDescent="0.3">
      <c r="A304">
        <v>1303</v>
      </c>
      <c r="B304">
        <v>660</v>
      </c>
      <c r="C304" t="s">
        <v>175</v>
      </c>
      <c r="D304" s="5">
        <v>45384</v>
      </c>
      <c r="E304">
        <v>7</v>
      </c>
      <c r="F304" t="s">
        <v>105</v>
      </c>
    </row>
    <row r="305" spans="1:6" x14ac:dyDescent="0.3">
      <c r="A305">
        <v>1304</v>
      </c>
      <c r="B305">
        <v>601</v>
      </c>
      <c r="C305" t="s">
        <v>178</v>
      </c>
      <c r="D305" s="5">
        <v>45482</v>
      </c>
      <c r="E305">
        <v>15</v>
      </c>
      <c r="F305" t="s">
        <v>105</v>
      </c>
    </row>
    <row r="306" spans="1:6" x14ac:dyDescent="0.3">
      <c r="A306">
        <v>1305</v>
      </c>
      <c r="B306">
        <v>687</v>
      </c>
      <c r="C306" t="s">
        <v>156</v>
      </c>
      <c r="D306" s="5">
        <v>45323</v>
      </c>
      <c r="E306">
        <v>10</v>
      </c>
      <c r="F306" t="s">
        <v>112</v>
      </c>
    </row>
    <row r="307" spans="1:6" x14ac:dyDescent="0.3">
      <c r="A307">
        <v>1306</v>
      </c>
      <c r="B307">
        <v>732</v>
      </c>
      <c r="C307" t="s">
        <v>6</v>
      </c>
      <c r="D307" s="5">
        <v>45618</v>
      </c>
      <c r="E307">
        <v>12</v>
      </c>
      <c r="F307" t="s">
        <v>40</v>
      </c>
    </row>
    <row r="308" spans="1:6" x14ac:dyDescent="0.3">
      <c r="A308">
        <v>1307</v>
      </c>
      <c r="B308">
        <v>730</v>
      </c>
      <c r="C308" t="s">
        <v>9</v>
      </c>
      <c r="D308" s="5">
        <v>45526</v>
      </c>
      <c r="E308">
        <v>14</v>
      </c>
      <c r="F308" t="s">
        <v>43</v>
      </c>
    </row>
    <row r="309" spans="1:6" x14ac:dyDescent="0.3">
      <c r="A309">
        <v>1308</v>
      </c>
      <c r="B309">
        <v>708</v>
      </c>
      <c r="C309" t="s">
        <v>8</v>
      </c>
      <c r="D309" s="5">
        <v>45650</v>
      </c>
      <c r="E309">
        <v>4</v>
      </c>
      <c r="F309" t="s">
        <v>42</v>
      </c>
    </row>
    <row r="310" spans="1:6" x14ac:dyDescent="0.3">
      <c r="A310">
        <v>1309</v>
      </c>
      <c r="B310">
        <v>544</v>
      </c>
      <c r="C310" t="s">
        <v>7</v>
      </c>
      <c r="D310" s="5">
        <v>45395</v>
      </c>
      <c r="E310">
        <v>1</v>
      </c>
      <c r="F310" t="s">
        <v>41</v>
      </c>
    </row>
    <row r="311" spans="1:6" x14ac:dyDescent="0.3">
      <c r="A311">
        <v>1310</v>
      </c>
      <c r="B311">
        <v>676</v>
      </c>
      <c r="C311" t="s">
        <v>148</v>
      </c>
      <c r="D311" s="5">
        <v>45344</v>
      </c>
      <c r="E311">
        <v>15</v>
      </c>
      <c r="F311" t="s">
        <v>105</v>
      </c>
    </row>
    <row r="312" spans="1:6" x14ac:dyDescent="0.3">
      <c r="A312">
        <v>1311</v>
      </c>
      <c r="B312">
        <v>532</v>
      </c>
      <c r="C312" t="s">
        <v>9</v>
      </c>
      <c r="D312" s="5">
        <v>45478</v>
      </c>
      <c r="E312">
        <v>11</v>
      </c>
      <c r="F312" t="s">
        <v>43</v>
      </c>
    </row>
    <row r="313" spans="1:6" x14ac:dyDescent="0.3">
      <c r="A313">
        <v>1312</v>
      </c>
      <c r="B313">
        <v>533</v>
      </c>
      <c r="C313" t="s">
        <v>158</v>
      </c>
      <c r="D313" s="5">
        <v>45609</v>
      </c>
      <c r="E313">
        <v>14</v>
      </c>
      <c r="F313" t="s">
        <v>112</v>
      </c>
    </row>
    <row r="314" spans="1:6" x14ac:dyDescent="0.3">
      <c r="A314">
        <v>1313</v>
      </c>
      <c r="B314">
        <v>697</v>
      </c>
      <c r="C314" t="s">
        <v>73</v>
      </c>
      <c r="D314" s="5">
        <v>45330</v>
      </c>
      <c r="E314">
        <v>3</v>
      </c>
      <c r="F314" t="s">
        <v>105</v>
      </c>
    </row>
    <row r="315" spans="1:6" x14ac:dyDescent="0.3">
      <c r="A315">
        <v>1314</v>
      </c>
      <c r="B315">
        <v>702</v>
      </c>
      <c r="C315" t="s">
        <v>126</v>
      </c>
      <c r="D315" s="5">
        <v>45568</v>
      </c>
      <c r="E315">
        <v>5</v>
      </c>
      <c r="F315" t="s">
        <v>42</v>
      </c>
    </row>
    <row r="316" spans="1:6" x14ac:dyDescent="0.3">
      <c r="A316">
        <v>1315</v>
      </c>
      <c r="B316">
        <v>680</v>
      </c>
      <c r="C316" t="s">
        <v>178</v>
      </c>
      <c r="D316" s="5">
        <v>45578</v>
      </c>
      <c r="E316">
        <v>20</v>
      </c>
      <c r="F316" t="s">
        <v>105</v>
      </c>
    </row>
    <row r="317" spans="1:6" x14ac:dyDescent="0.3">
      <c r="A317">
        <v>1316</v>
      </c>
      <c r="B317">
        <v>710</v>
      </c>
      <c r="C317" t="s">
        <v>169</v>
      </c>
      <c r="D317" s="5">
        <v>45477</v>
      </c>
      <c r="E317">
        <v>20</v>
      </c>
      <c r="F317" t="s">
        <v>171</v>
      </c>
    </row>
    <row r="318" spans="1:6" x14ac:dyDescent="0.3">
      <c r="A318">
        <v>1317</v>
      </c>
      <c r="B318">
        <v>580</v>
      </c>
      <c r="C318" t="s">
        <v>72</v>
      </c>
      <c r="D318" s="5">
        <v>45310</v>
      </c>
      <c r="E318">
        <v>19</v>
      </c>
      <c r="F318" t="s">
        <v>41</v>
      </c>
    </row>
    <row r="319" spans="1:6" x14ac:dyDescent="0.3">
      <c r="A319">
        <v>1318</v>
      </c>
      <c r="B319">
        <v>543</v>
      </c>
      <c r="C319" t="s">
        <v>173</v>
      </c>
      <c r="D319" s="5">
        <v>45512</v>
      </c>
      <c r="E319">
        <v>9</v>
      </c>
      <c r="F319" t="s">
        <v>135</v>
      </c>
    </row>
    <row r="320" spans="1:6" x14ac:dyDescent="0.3">
      <c r="A320">
        <v>1319</v>
      </c>
      <c r="B320">
        <v>604</v>
      </c>
      <c r="C320" t="s">
        <v>121</v>
      </c>
      <c r="D320" s="5">
        <v>45327</v>
      </c>
      <c r="E320">
        <v>10</v>
      </c>
      <c r="F320" t="s">
        <v>105</v>
      </c>
    </row>
    <row r="321" spans="1:6" x14ac:dyDescent="0.3">
      <c r="A321">
        <v>1320</v>
      </c>
      <c r="B321">
        <v>533</v>
      </c>
      <c r="C321" t="s">
        <v>150</v>
      </c>
      <c r="D321" s="5">
        <v>45489</v>
      </c>
      <c r="E321">
        <v>9</v>
      </c>
      <c r="F321" t="s">
        <v>152</v>
      </c>
    </row>
    <row r="322" spans="1:6" x14ac:dyDescent="0.3">
      <c r="A322">
        <v>1321</v>
      </c>
      <c r="B322">
        <v>542</v>
      </c>
      <c r="C322" t="s">
        <v>121</v>
      </c>
      <c r="D322" s="5">
        <v>45544</v>
      </c>
      <c r="E322">
        <v>14</v>
      </c>
      <c r="F322" t="s">
        <v>105</v>
      </c>
    </row>
    <row r="323" spans="1:6" x14ac:dyDescent="0.3">
      <c r="A323">
        <v>1322</v>
      </c>
      <c r="B323">
        <v>547</v>
      </c>
      <c r="C323" t="s">
        <v>178</v>
      </c>
      <c r="D323" s="5">
        <v>45585</v>
      </c>
      <c r="E323">
        <v>16</v>
      </c>
      <c r="F323" t="s">
        <v>105</v>
      </c>
    </row>
    <row r="324" spans="1:6" x14ac:dyDescent="0.3">
      <c r="A324">
        <v>1323</v>
      </c>
      <c r="B324">
        <v>504</v>
      </c>
      <c r="C324" t="s">
        <v>175</v>
      </c>
      <c r="D324" s="5">
        <v>45482</v>
      </c>
      <c r="E324">
        <v>8</v>
      </c>
      <c r="F324" t="s">
        <v>105</v>
      </c>
    </row>
    <row r="325" spans="1:6" x14ac:dyDescent="0.3">
      <c r="A325">
        <v>1324</v>
      </c>
      <c r="B325">
        <v>682</v>
      </c>
      <c r="C325" t="s">
        <v>123</v>
      </c>
      <c r="D325" s="5">
        <v>45310</v>
      </c>
      <c r="E325">
        <v>6</v>
      </c>
      <c r="F325" t="s">
        <v>112</v>
      </c>
    </row>
    <row r="326" spans="1:6" x14ac:dyDescent="0.3">
      <c r="A326">
        <v>1325</v>
      </c>
      <c r="B326">
        <v>650</v>
      </c>
      <c r="C326" t="s">
        <v>184</v>
      </c>
      <c r="D326" s="5">
        <v>45557</v>
      </c>
      <c r="E326">
        <v>6</v>
      </c>
      <c r="F326" t="s">
        <v>131</v>
      </c>
    </row>
    <row r="327" spans="1:6" x14ac:dyDescent="0.3">
      <c r="A327">
        <v>1326</v>
      </c>
      <c r="B327">
        <v>585</v>
      </c>
      <c r="C327" t="s">
        <v>156</v>
      </c>
      <c r="D327" s="5">
        <v>45425</v>
      </c>
      <c r="E327">
        <v>10</v>
      </c>
      <c r="F327" t="s">
        <v>112</v>
      </c>
    </row>
    <row r="328" spans="1:6" x14ac:dyDescent="0.3">
      <c r="A328">
        <v>1327</v>
      </c>
      <c r="B328">
        <v>679</v>
      </c>
      <c r="C328" t="s">
        <v>110</v>
      </c>
      <c r="D328" s="5">
        <v>45592</v>
      </c>
      <c r="E328">
        <v>5</v>
      </c>
      <c r="F328" t="s">
        <v>112</v>
      </c>
    </row>
    <row r="329" spans="1:6" x14ac:dyDescent="0.3">
      <c r="A329">
        <v>1328</v>
      </c>
      <c r="B329">
        <v>525</v>
      </c>
      <c r="C329" t="s">
        <v>181</v>
      </c>
      <c r="D329" s="5">
        <v>45562</v>
      </c>
      <c r="E329">
        <v>15</v>
      </c>
      <c r="F329" t="s">
        <v>164</v>
      </c>
    </row>
    <row r="330" spans="1:6" x14ac:dyDescent="0.3">
      <c r="A330">
        <v>1329</v>
      </c>
      <c r="B330">
        <v>680</v>
      </c>
      <c r="C330" t="s">
        <v>123</v>
      </c>
      <c r="D330" s="5">
        <v>45529</v>
      </c>
      <c r="E330">
        <v>16</v>
      </c>
      <c r="F330" t="s">
        <v>112</v>
      </c>
    </row>
    <row r="331" spans="1:6" x14ac:dyDescent="0.3">
      <c r="A331">
        <v>1330</v>
      </c>
      <c r="B331">
        <v>745</v>
      </c>
      <c r="C331" t="s">
        <v>10</v>
      </c>
      <c r="D331" s="5">
        <v>45479</v>
      </c>
      <c r="E331">
        <v>12</v>
      </c>
      <c r="F331" t="s">
        <v>44</v>
      </c>
    </row>
    <row r="332" spans="1:6" x14ac:dyDescent="0.3">
      <c r="A332">
        <v>1331</v>
      </c>
      <c r="B332">
        <v>521</v>
      </c>
      <c r="C332" t="s">
        <v>11</v>
      </c>
      <c r="D332" s="5">
        <v>45644</v>
      </c>
      <c r="E332">
        <v>17</v>
      </c>
      <c r="F332" t="s">
        <v>105</v>
      </c>
    </row>
    <row r="333" spans="1:6" x14ac:dyDescent="0.3">
      <c r="A333">
        <v>1332</v>
      </c>
      <c r="B333">
        <v>643</v>
      </c>
      <c r="C333" t="s">
        <v>114</v>
      </c>
      <c r="D333" s="5">
        <v>45345</v>
      </c>
      <c r="E333">
        <v>11</v>
      </c>
      <c r="F333" t="s">
        <v>40</v>
      </c>
    </row>
    <row r="334" spans="1:6" x14ac:dyDescent="0.3">
      <c r="A334">
        <v>1333</v>
      </c>
      <c r="B334">
        <v>589</v>
      </c>
      <c r="C334" t="s">
        <v>110</v>
      </c>
      <c r="D334" s="5">
        <v>45526</v>
      </c>
      <c r="E334">
        <v>14</v>
      </c>
      <c r="F334" t="s">
        <v>112</v>
      </c>
    </row>
    <row r="335" spans="1:6" x14ac:dyDescent="0.3">
      <c r="A335">
        <v>1334</v>
      </c>
      <c r="B335">
        <v>715</v>
      </c>
      <c r="C335" t="s">
        <v>162</v>
      </c>
      <c r="D335" s="5">
        <v>45342</v>
      </c>
      <c r="E335">
        <v>9</v>
      </c>
      <c r="F335" t="s">
        <v>164</v>
      </c>
    </row>
    <row r="336" spans="1:6" x14ac:dyDescent="0.3">
      <c r="A336">
        <v>1335</v>
      </c>
      <c r="B336">
        <v>620</v>
      </c>
      <c r="C336" t="s">
        <v>166</v>
      </c>
      <c r="D336" s="5">
        <v>45303</v>
      </c>
      <c r="E336">
        <v>6</v>
      </c>
      <c r="F336" t="s">
        <v>40</v>
      </c>
    </row>
    <row r="337" spans="1:6" x14ac:dyDescent="0.3">
      <c r="A337">
        <v>1336</v>
      </c>
      <c r="B337">
        <v>722</v>
      </c>
      <c r="C337" t="s">
        <v>123</v>
      </c>
      <c r="D337" s="5">
        <v>45642</v>
      </c>
      <c r="E337">
        <v>4</v>
      </c>
      <c r="F337" t="s">
        <v>112</v>
      </c>
    </row>
    <row r="338" spans="1:6" x14ac:dyDescent="0.3">
      <c r="A338">
        <v>1337</v>
      </c>
      <c r="B338">
        <v>700</v>
      </c>
      <c r="C338" t="s">
        <v>148</v>
      </c>
      <c r="D338" s="5">
        <v>45554</v>
      </c>
      <c r="E338">
        <v>18</v>
      </c>
      <c r="F338" t="s">
        <v>105</v>
      </c>
    </row>
    <row r="339" spans="1:6" x14ac:dyDescent="0.3">
      <c r="A339">
        <v>1338</v>
      </c>
      <c r="B339">
        <v>729</v>
      </c>
      <c r="C339" t="s">
        <v>129</v>
      </c>
      <c r="D339" s="5">
        <v>45305</v>
      </c>
      <c r="E339">
        <v>8</v>
      </c>
      <c r="F339" t="s">
        <v>131</v>
      </c>
    </row>
    <row r="340" spans="1:6" x14ac:dyDescent="0.3">
      <c r="A340">
        <v>1339</v>
      </c>
      <c r="B340">
        <v>704</v>
      </c>
      <c r="C340" t="s">
        <v>148</v>
      </c>
      <c r="D340" s="5">
        <v>45375</v>
      </c>
      <c r="E340">
        <v>11</v>
      </c>
      <c r="F340" t="s">
        <v>105</v>
      </c>
    </row>
    <row r="341" spans="1:6" x14ac:dyDescent="0.3">
      <c r="A341">
        <v>1340</v>
      </c>
      <c r="B341">
        <v>608</v>
      </c>
      <c r="C341" t="s">
        <v>9</v>
      </c>
      <c r="D341" s="5">
        <v>45601</v>
      </c>
      <c r="E341">
        <v>6</v>
      </c>
      <c r="F341" t="s">
        <v>43</v>
      </c>
    </row>
    <row r="342" spans="1:6" x14ac:dyDescent="0.3">
      <c r="A342">
        <v>1341</v>
      </c>
      <c r="B342">
        <v>696</v>
      </c>
      <c r="C342" t="s">
        <v>8</v>
      </c>
      <c r="D342" s="5">
        <v>45559</v>
      </c>
      <c r="E342">
        <v>1</v>
      </c>
      <c r="F342" t="s">
        <v>42</v>
      </c>
    </row>
    <row r="343" spans="1:6" x14ac:dyDescent="0.3">
      <c r="A343">
        <v>1342</v>
      </c>
      <c r="B343">
        <v>701</v>
      </c>
      <c r="C343" t="s">
        <v>156</v>
      </c>
      <c r="D343" s="5">
        <v>45400</v>
      </c>
      <c r="E343">
        <v>12</v>
      </c>
      <c r="F343" t="s">
        <v>112</v>
      </c>
    </row>
    <row r="344" spans="1:6" x14ac:dyDescent="0.3">
      <c r="A344">
        <v>1343</v>
      </c>
      <c r="B344">
        <v>693</v>
      </c>
      <c r="C344" t="s">
        <v>160</v>
      </c>
      <c r="D344" s="5">
        <v>45391</v>
      </c>
      <c r="E344">
        <v>6</v>
      </c>
      <c r="F344" t="s">
        <v>41</v>
      </c>
    </row>
    <row r="345" spans="1:6" x14ac:dyDescent="0.3">
      <c r="A345">
        <v>1344</v>
      </c>
      <c r="B345">
        <v>501</v>
      </c>
      <c r="C345" t="s">
        <v>156</v>
      </c>
      <c r="D345" s="5">
        <v>45376</v>
      </c>
      <c r="E345">
        <v>7</v>
      </c>
      <c r="F345" t="s">
        <v>112</v>
      </c>
    </row>
    <row r="346" spans="1:6" x14ac:dyDescent="0.3">
      <c r="A346">
        <v>1345</v>
      </c>
      <c r="B346">
        <v>507</v>
      </c>
      <c r="C346" t="s">
        <v>145</v>
      </c>
      <c r="D346" s="5">
        <v>45421</v>
      </c>
      <c r="E346">
        <v>6</v>
      </c>
      <c r="F346" t="s">
        <v>135</v>
      </c>
    </row>
    <row r="347" spans="1:6" x14ac:dyDescent="0.3">
      <c r="A347">
        <v>1346</v>
      </c>
      <c r="B347">
        <v>749</v>
      </c>
      <c r="C347" t="s">
        <v>10</v>
      </c>
      <c r="D347" s="5">
        <v>45549</v>
      </c>
      <c r="E347">
        <v>17</v>
      </c>
      <c r="F347" t="s">
        <v>44</v>
      </c>
    </row>
    <row r="348" spans="1:6" x14ac:dyDescent="0.3">
      <c r="A348">
        <v>1347</v>
      </c>
      <c r="B348">
        <v>635</v>
      </c>
      <c r="C348" t="s">
        <v>121</v>
      </c>
      <c r="D348" s="5">
        <v>45650</v>
      </c>
      <c r="E348">
        <v>12</v>
      </c>
      <c r="F348" t="s">
        <v>105</v>
      </c>
    </row>
    <row r="349" spans="1:6" x14ac:dyDescent="0.3">
      <c r="A349">
        <v>1348</v>
      </c>
      <c r="B349">
        <v>527</v>
      </c>
      <c r="C349" t="s">
        <v>175</v>
      </c>
      <c r="D349" s="5">
        <v>45508</v>
      </c>
      <c r="E349">
        <v>16</v>
      </c>
      <c r="F349" t="s">
        <v>105</v>
      </c>
    </row>
    <row r="350" spans="1:6" x14ac:dyDescent="0.3">
      <c r="A350">
        <v>1349</v>
      </c>
      <c r="B350">
        <v>700</v>
      </c>
      <c r="C350" t="s">
        <v>158</v>
      </c>
      <c r="D350" s="5">
        <v>45516</v>
      </c>
      <c r="E350">
        <v>19</v>
      </c>
      <c r="F350" t="s">
        <v>112</v>
      </c>
    </row>
    <row r="351" spans="1:6" x14ac:dyDescent="0.3">
      <c r="A351">
        <v>1350</v>
      </c>
      <c r="B351">
        <v>580</v>
      </c>
      <c r="C351" t="s">
        <v>158</v>
      </c>
      <c r="D351" s="5">
        <v>45299</v>
      </c>
      <c r="E351">
        <v>14</v>
      </c>
      <c r="F351" t="s">
        <v>112</v>
      </c>
    </row>
    <row r="352" spans="1:6" x14ac:dyDescent="0.3">
      <c r="A352">
        <v>1351</v>
      </c>
      <c r="B352">
        <v>727</v>
      </c>
      <c r="C352" t="s">
        <v>145</v>
      </c>
      <c r="D352" s="5">
        <v>45578</v>
      </c>
      <c r="E352">
        <v>7</v>
      </c>
      <c r="F352" t="s">
        <v>135</v>
      </c>
    </row>
    <row r="353" spans="1:6" x14ac:dyDescent="0.3">
      <c r="A353">
        <v>1352</v>
      </c>
      <c r="B353">
        <v>616</v>
      </c>
      <c r="C353" t="s">
        <v>166</v>
      </c>
      <c r="D353" s="5">
        <v>45460</v>
      </c>
      <c r="E353">
        <v>18</v>
      </c>
      <c r="F353" t="s">
        <v>40</v>
      </c>
    </row>
    <row r="354" spans="1:6" x14ac:dyDescent="0.3">
      <c r="A354">
        <v>1353</v>
      </c>
      <c r="B354">
        <v>738</v>
      </c>
      <c r="C354" t="s">
        <v>178</v>
      </c>
      <c r="D354" s="5">
        <v>45396</v>
      </c>
      <c r="E354">
        <v>19</v>
      </c>
      <c r="F354" t="s">
        <v>105</v>
      </c>
    </row>
    <row r="355" spans="1:6" x14ac:dyDescent="0.3">
      <c r="A355">
        <v>1354</v>
      </c>
      <c r="B355">
        <v>572</v>
      </c>
      <c r="C355" t="s">
        <v>110</v>
      </c>
      <c r="D355" s="5">
        <v>45580</v>
      </c>
      <c r="E355">
        <v>9</v>
      </c>
      <c r="F355" t="s">
        <v>112</v>
      </c>
    </row>
    <row r="356" spans="1:6" x14ac:dyDescent="0.3">
      <c r="A356">
        <v>1355</v>
      </c>
      <c r="B356">
        <v>508</v>
      </c>
      <c r="C356" t="s">
        <v>114</v>
      </c>
      <c r="D356" s="5">
        <v>45527</v>
      </c>
      <c r="E356">
        <v>11</v>
      </c>
      <c r="F356" t="s">
        <v>40</v>
      </c>
    </row>
    <row r="357" spans="1:6" x14ac:dyDescent="0.3">
      <c r="A357">
        <v>1356</v>
      </c>
      <c r="B357">
        <v>713</v>
      </c>
      <c r="C357" t="s">
        <v>150</v>
      </c>
      <c r="D357" s="5">
        <v>45443</v>
      </c>
      <c r="E357">
        <v>13</v>
      </c>
      <c r="F357" t="s">
        <v>152</v>
      </c>
    </row>
    <row r="358" spans="1:6" x14ac:dyDescent="0.3">
      <c r="A358">
        <v>1357</v>
      </c>
      <c r="B358">
        <v>662</v>
      </c>
      <c r="C358" t="s">
        <v>162</v>
      </c>
      <c r="D358" s="5">
        <v>45332</v>
      </c>
      <c r="E358">
        <v>3</v>
      </c>
      <c r="F358" t="s">
        <v>164</v>
      </c>
    </row>
    <row r="359" spans="1:6" x14ac:dyDescent="0.3">
      <c r="A359">
        <v>1358</v>
      </c>
      <c r="B359">
        <v>677</v>
      </c>
      <c r="C359" t="s">
        <v>123</v>
      </c>
      <c r="D359" s="5">
        <v>45467</v>
      </c>
      <c r="E359">
        <v>16</v>
      </c>
      <c r="F359" t="s">
        <v>112</v>
      </c>
    </row>
    <row r="360" spans="1:6" x14ac:dyDescent="0.3">
      <c r="A360">
        <v>1359</v>
      </c>
      <c r="B360">
        <v>684</v>
      </c>
      <c r="C360" t="s">
        <v>162</v>
      </c>
      <c r="D360" s="5">
        <v>45613</v>
      </c>
      <c r="E360">
        <v>2</v>
      </c>
      <c r="F360" t="s">
        <v>164</v>
      </c>
    </row>
    <row r="361" spans="1:6" x14ac:dyDescent="0.3">
      <c r="A361">
        <v>1360</v>
      </c>
      <c r="B361">
        <v>728</v>
      </c>
      <c r="C361" t="s">
        <v>8</v>
      </c>
      <c r="D361" s="5">
        <v>45458</v>
      </c>
      <c r="E361">
        <v>10</v>
      </c>
      <c r="F361" t="s">
        <v>42</v>
      </c>
    </row>
    <row r="362" spans="1:6" x14ac:dyDescent="0.3">
      <c r="A362">
        <v>1361</v>
      </c>
      <c r="B362">
        <v>539</v>
      </c>
      <c r="C362" t="s">
        <v>160</v>
      </c>
      <c r="D362" s="5">
        <v>45614</v>
      </c>
      <c r="E362">
        <v>18</v>
      </c>
      <c r="F362" t="s">
        <v>41</v>
      </c>
    </row>
    <row r="363" spans="1:6" x14ac:dyDescent="0.3">
      <c r="A363">
        <v>1362</v>
      </c>
      <c r="B363">
        <v>684</v>
      </c>
      <c r="C363" t="s">
        <v>117</v>
      </c>
      <c r="D363" s="5">
        <v>45604</v>
      </c>
      <c r="E363">
        <v>7</v>
      </c>
      <c r="F363" t="s">
        <v>119</v>
      </c>
    </row>
    <row r="364" spans="1:6" x14ac:dyDescent="0.3">
      <c r="A364">
        <v>1363</v>
      </c>
      <c r="B364">
        <v>528</v>
      </c>
      <c r="C364" t="s">
        <v>11</v>
      </c>
      <c r="D364" s="5">
        <v>45520</v>
      </c>
      <c r="E364">
        <v>19</v>
      </c>
      <c r="F364" t="s">
        <v>105</v>
      </c>
    </row>
    <row r="365" spans="1:6" x14ac:dyDescent="0.3">
      <c r="A365">
        <v>1364</v>
      </c>
      <c r="B365">
        <v>716</v>
      </c>
      <c r="C365" t="s">
        <v>133</v>
      </c>
      <c r="D365" s="5">
        <v>45349</v>
      </c>
      <c r="E365">
        <v>1</v>
      </c>
      <c r="F365" t="s">
        <v>135</v>
      </c>
    </row>
    <row r="366" spans="1:6" x14ac:dyDescent="0.3">
      <c r="A366">
        <v>1365</v>
      </c>
      <c r="B366">
        <v>596</v>
      </c>
      <c r="C366" t="s">
        <v>123</v>
      </c>
      <c r="D366" s="5">
        <v>45649</v>
      </c>
      <c r="E366">
        <v>17</v>
      </c>
      <c r="F366" t="s">
        <v>112</v>
      </c>
    </row>
    <row r="367" spans="1:6" x14ac:dyDescent="0.3">
      <c r="A367">
        <v>1366</v>
      </c>
      <c r="B367">
        <v>501</v>
      </c>
      <c r="C367" t="s">
        <v>178</v>
      </c>
      <c r="D367" s="5">
        <v>45298</v>
      </c>
      <c r="E367">
        <v>19</v>
      </c>
      <c r="F367" t="s">
        <v>105</v>
      </c>
    </row>
    <row r="368" spans="1:6" x14ac:dyDescent="0.3">
      <c r="A368">
        <v>1367</v>
      </c>
      <c r="B368">
        <v>551</v>
      </c>
      <c r="C368" t="s">
        <v>73</v>
      </c>
      <c r="D368" s="5">
        <v>45614</v>
      </c>
      <c r="E368">
        <v>6</v>
      </c>
      <c r="F368" t="s">
        <v>105</v>
      </c>
    </row>
    <row r="369" spans="1:6" x14ac:dyDescent="0.3">
      <c r="A369">
        <v>1368</v>
      </c>
      <c r="B369">
        <v>707</v>
      </c>
      <c r="C369" t="s">
        <v>173</v>
      </c>
      <c r="D369" s="5">
        <v>45640</v>
      </c>
      <c r="E369">
        <v>6</v>
      </c>
      <c r="F369" t="s">
        <v>135</v>
      </c>
    </row>
    <row r="370" spans="1:6" x14ac:dyDescent="0.3">
      <c r="A370">
        <v>1369</v>
      </c>
      <c r="B370">
        <v>637</v>
      </c>
      <c r="C370" t="s">
        <v>148</v>
      </c>
      <c r="D370" s="5">
        <v>45295</v>
      </c>
      <c r="E370">
        <v>5</v>
      </c>
      <c r="F370" t="s">
        <v>105</v>
      </c>
    </row>
    <row r="371" spans="1:6" x14ac:dyDescent="0.3">
      <c r="A371">
        <v>1370</v>
      </c>
      <c r="B371">
        <v>643</v>
      </c>
      <c r="C371" t="s">
        <v>126</v>
      </c>
      <c r="D371" s="5">
        <v>45624</v>
      </c>
      <c r="E371">
        <v>2</v>
      </c>
      <c r="F371" t="s">
        <v>42</v>
      </c>
    </row>
    <row r="372" spans="1:6" x14ac:dyDescent="0.3">
      <c r="A372">
        <v>1371</v>
      </c>
      <c r="B372">
        <v>719</v>
      </c>
      <c r="C372" t="s">
        <v>181</v>
      </c>
      <c r="D372" s="5">
        <v>45626</v>
      </c>
      <c r="E372">
        <v>5</v>
      </c>
      <c r="F372" t="s">
        <v>164</v>
      </c>
    </row>
    <row r="373" spans="1:6" x14ac:dyDescent="0.3">
      <c r="A373">
        <v>1372</v>
      </c>
      <c r="B373">
        <v>580</v>
      </c>
      <c r="C373" t="s">
        <v>169</v>
      </c>
      <c r="D373" s="5">
        <v>45363</v>
      </c>
      <c r="E373">
        <v>8</v>
      </c>
      <c r="F373" t="s">
        <v>171</v>
      </c>
    </row>
    <row r="374" spans="1:6" x14ac:dyDescent="0.3">
      <c r="A374">
        <v>1373</v>
      </c>
      <c r="B374">
        <v>648</v>
      </c>
      <c r="C374" t="s">
        <v>162</v>
      </c>
      <c r="D374" s="5">
        <v>45369</v>
      </c>
      <c r="E374">
        <v>14</v>
      </c>
      <c r="F374" t="s">
        <v>164</v>
      </c>
    </row>
    <row r="375" spans="1:6" x14ac:dyDescent="0.3">
      <c r="A375">
        <v>1374</v>
      </c>
      <c r="B375">
        <v>706</v>
      </c>
      <c r="C375" t="s">
        <v>137</v>
      </c>
      <c r="D375" s="5">
        <v>45458</v>
      </c>
      <c r="E375">
        <v>16</v>
      </c>
      <c r="F375" t="s">
        <v>135</v>
      </c>
    </row>
    <row r="376" spans="1:6" x14ac:dyDescent="0.3">
      <c r="A376">
        <v>1375</v>
      </c>
      <c r="B376">
        <v>574</v>
      </c>
      <c r="C376" t="s">
        <v>7</v>
      </c>
      <c r="D376" s="5">
        <v>45470</v>
      </c>
      <c r="E376">
        <v>19</v>
      </c>
      <c r="F376" t="s">
        <v>41</v>
      </c>
    </row>
    <row r="377" spans="1:6" x14ac:dyDescent="0.3">
      <c r="A377">
        <v>1376</v>
      </c>
      <c r="B377">
        <v>748</v>
      </c>
      <c r="C377" t="s">
        <v>6</v>
      </c>
      <c r="D377" s="5">
        <v>45484</v>
      </c>
      <c r="E377">
        <v>6</v>
      </c>
      <c r="F377" t="s">
        <v>40</v>
      </c>
    </row>
    <row r="378" spans="1:6" x14ac:dyDescent="0.3">
      <c r="A378">
        <v>1377</v>
      </c>
      <c r="B378">
        <v>644</v>
      </c>
      <c r="C378" t="s">
        <v>140</v>
      </c>
      <c r="D378" s="5">
        <v>45420</v>
      </c>
      <c r="E378">
        <v>20</v>
      </c>
      <c r="F378" t="s">
        <v>41</v>
      </c>
    </row>
    <row r="379" spans="1:6" x14ac:dyDescent="0.3">
      <c r="A379">
        <v>1378</v>
      </c>
      <c r="B379">
        <v>512</v>
      </c>
      <c r="C379" t="s">
        <v>137</v>
      </c>
      <c r="D379" s="5">
        <v>45309</v>
      </c>
      <c r="E379">
        <v>16</v>
      </c>
      <c r="F379" t="s">
        <v>135</v>
      </c>
    </row>
    <row r="380" spans="1:6" x14ac:dyDescent="0.3">
      <c r="A380">
        <v>1379</v>
      </c>
      <c r="B380">
        <v>605</v>
      </c>
      <c r="C380" t="s">
        <v>173</v>
      </c>
      <c r="D380" s="5">
        <v>45551</v>
      </c>
      <c r="E380">
        <v>16</v>
      </c>
      <c r="F380" t="s">
        <v>135</v>
      </c>
    </row>
    <row r="381" spans="1:6" x14ac:dyDescent="0.3">
      <c r="A381">
        <v>1380</v>
      </c>
      <c r="B381">
        <v>658</v>
      </c>
      <c r="C381" t="s">
        <v>148</v>
      </c>
      <c r="D381" s="5">
        <v>45377</v>
      </c>
      <c r="E381">
        <v>11</v>
      </c>
      <c r="F381" t="s">
        <v>105</v>
      </c>
    </row>
    <row r="382" spans="1:6" x14ac:dyDescent="0.3">
      <c r="A382">
        <v>1381</v>
      </c>
      <c r="B382">
        <v>657</v>
      </c>
      <c r="C382" t="s">
        <v>175</v>
      </c>
      <c r="D382" s="5">
        <v>45349</v>
      </c>
      <c r="E382">
        <v>9</v>
      </c>
      <c r="F382" t="s">
        <v>105</v>
      </c>
    </row>
    <row r="383" spans="1:6" x14ac:dyDescent="0.3">
      <c r="A383">
        <v>1382</v>
      </c>
      <c r="B383">
        <v>589</v>
      </c>
      <c r="C383" t="s">
        <v>175</v>
      </c>
      <c r="D383" s="5">
        <v>45406</v>
      </c>
      <c r="E383">
        <v>4</v>
      </c>
      <c r="F383" t="s">
        <v>105</v>
      </c>
    </row>
    <row r="384" spans="1:6" x14ac:dyDescent="0.3">
      <c r="A384">
        <v>1383</v>
      </c>
      <c r="B384">
        <v>682</v>
      </c>
      <c r="C384" t="s">
        <v>137</v>
      </c>
      <c r="D384" s="5">
        <v>45619</v>
      </c>
      <c r="E384">
        <v>8</v>
      </c>
      <c r="F384" t="s">
        <v>135</v>
      </c>
    </row>
    <row r="385" spans="1:6" x14ac:dyDescent="0.3">
      <c r="A385">
        <v>1384</v>
      </c>
      <c r="B385">
        <v>658</v>
      </c>
      <c r="C385" t="s">
        <v>181</v>
      </c>
      <c r="D385" s="5">
        <v>45514</v>
      </c>
      <c r="E385">
        <v>2</v>
      </c>
      <c r="F385" t="s">
        <v>164</v>
      </c>
    </row>
    <row r="386" spans="1:6" x14ac:dyDescent="0.3">
      <c r="A386">
        <v>1385</v>
      </c>
      <c r="B386">
        <v>539</v>
      </c>
      <c r="C386" t="s">
        <v>169</v>
      </c>
      <c r="D386" s="5">
        <v>45295</v>
      </c>
      <c r="E386">
        <v>15</v>
      </c>
      <c r="F386" t="s">
        <v>171</v>
      </c>
    </row>
    <row r="387" spans="1:6" x14ac:dyDescent="0.3">
      <c r="A387">
        <v>1386</v>
      </c>
      <c r="B387">
        <v>690</v>
      </c>
      <c r="C387" t="s">
        <v>126</v>
      </c>
      <c r="D387" s="5">
        <v>45573</v>
      </c>
      <c r="E387">
        <v>10</v>
      </c>
      <c r="F387" t="s">
        <v>42</v>
      </c>
    </row>
    <row r="388" spans="1:6" x14ac:dyDescent="0.3">
      <c r="A388">
        <v>1387</v>
      </c>
      <c r="B388">
        <v>539</v>
      </c>
      <c r="C388" t="s">
        <v>178</v>
      </c>
      <c r="D388" s="5">
        <v>45642</v>
      </c>
      <c r="E388">
        <v>10</v>
      </c>
      <c r="F388" t="s">
        <v>105</v>
      </c>
    </row>
    <row r="389" spans="1:6" x14ac:dyDescent="0.3">
      <c r="A389">
        <v>1388</v>
      </c>
      <c r="B389">
        <v>715</v>
      </c>
      <c r="C389" t="s">
        <v>114</v>
      </c>
      <c r="D389" s="5">
        <v>45334</v>
      </c>
      <c r="E389">
        <v>1</v>
      </c>
      <c r="F389" t="s">
        <v>40</v>
      </c>
    </row>
    <row r="390" spans="1:6" x14ac:dyDescent="0.3">
      <c r="A390">
        <v>1389</v>
      </c>
      <c r="B390">
        <v>681</v>
      </c>
      <c r="C390" t="s">
        <v>9</v>
      </c>
      <c r="D390" s="5">
        <v>45580</v>
      </c>
      <c r="E390">
        <v>6</v>
      </c>
      <c r="F390" t="s">
        <v>43</v>
      </c>
    </row>
    <row r="391" spans="1:6" x14ac:dyDescent="0.3">
      <c r="A391">
        <v>1390</v>
      </c>
      <c r="B391">
        <v>659</v>
      </c>
      <c r="C391" t="s">
        <v>184</v>
      </c>
      <c r="D391" s="5">
        <v>45494</v>
      </c>
      <c r="E391">
        <v>8</v>
      </c>
      <c r="F391" t="s">
        <v>131</v>
      </c>
    </row>
    <row r="392" spans="1:6" x14ac:dyDescent="0.3">
      <c r="A392">
        <v>1391</v>
      </c>
      <c r="B392">
        <v>574</v>
      </c>
      <c r="C392" t="s">
        <v>162</v>
      </c>
      <c r="D392" s="5">
        <v>45590</v>
      </c>
      <c r="E392">
        <v>6</v>
      </c>
      <c r="F392" t="s">
        <v>164</v>
      </c>
    </row>
    <row r="393" spans="1:6" x14ac:dyDescent="0.3">
      <c r="A393">
        <v>1392</v>
      </c>
      <c r="B393">
        <v>596</v>
      </c>
      <c r="C393" t="s">
        <v>148</v>
      </c>
      <c r="D393" s="5">
        <v>45474</v>
      </c>
      <c r="E393">
        <v>12</v>
      </c>
      <c r="F393" t="s">
        <v>105</v>
      </c>
    </row>
    <row r="394" spans="1:6" x14ac:dyDescent="0.3">
      <c r="A394">
        <v>1393</v>
      </c>
      <c r="B394">
        <v>552</v>
      </c>
      <c r="C394" t="s">
        <v>117</v>
      </c>
      <c r="D394" s="5">
        <v>45385</v>
      </c>
      <c r="E394">
        <v>13</v>
      </c>
      <c r="F394" t="s">
        <v>119</v>
      </c>
    </row>
    <row r="395" spans="1:6" x14ac:dyDescent="0.3">
      <c r="A395">
        <v>1394</v>
      </c>
      <c r="B395">
        <v>533</v>
      </c>
      <c r="C395" t="s">
        <v>148</v>
      </c>
      <c r="D395" s="5">
        <v>45592</v>
      </c>
      <c r="E395">
        <v>20</v>
      </c>
      <c r="F395" t="s">
        <v>105</v>
      </c>
    </row>
    <row r="396" spans="1:6" x14ac:dyDescent="0.3">
      <c r="A396">
        <v>1395</v>
      </c>
      <c r="B396">
        <v>693</v>
      </c>
      <c r="C396" t="s">
        <v>140</v>
      </c>
      <c r="D396" s="5">
        <v>45451</v>
      </c>
      <c r="E396">
        <v>15</v>
      </c>
      <c r="F396" t="s">
        <v>41</v>
      </c>
    </row>
    <row r="397" spans="1:6" x14ac:dyDescent="0.3">
      <c r="A397">
        <v>1396</v>
      </c>
      <c r="B397">
        <v>678</v>
      </c>
      <c r="C397" t="s">
        <v>126</v>
      </c>
      <c r="D397" s="5">
        <v>45591</v>
      </c>
      <c r="E397">
        <v>18</v>
      </c>
      <c r="F397" t="s">
        <v>42</v>
      </c>
    </row>
    <row r="398" spans="1:6" x14ac:dyDescent="0.3">
      <c r="A398">
        <v>1397</v>
      </c>
      <c r="B398">
        <v>655</v>
      </c>
      <c r="C398" t="s">
        <v>126</v>
      </c>
      <c r="D398" s="5">
        <v>45565</v>
      </c>
      <c r="E398">
        <v>20</v>
      </c>
      <c r="F398" t="s">
        <v>42</v>
      </c>
    </row>
    <row r="399" spans="1:6" x14ac:dyDescent="0.3">
      <c r="A399">
        <v>1398</v>
      </c>
      <c r="B399">
        <v>710</v>
      </c>
      <c r="C399" t="s">
        <v>175</v>
      </c>
      <c r="D399" s="5">
        <v>45302</v>
      </c>
      <c r="E399">
        <v>15</v>
      </c>
      <c r="F399" t="s">
        <v>105</v>
      </c>
    </row>
    <row r="400" spans="1:6" x14ac:dyDescent="0.3">
      <c r="A400">
        <v>1399</v>
      </c>
      <c r="B400">
        <v>721</v>
      </c>
      <c r="C400" t="s">
        <v>7</v>
      </c>
      <c r="D400" s="5">
        <v>45460</v>
      </c>
      <c r="E400">
        <v>8</v>
      </c>
      <c r="F400" t="s">
        <v>41</v>
      </c>
    </row>
    <row r="401" spans="1:6" x14ac:dyDescent="0.3">
      <c r="A401">
        <v>1400</v>
      </c>
      <c r="B401">
        <v>697</v>
      </c>
      <c r="C401" t="s">
        <v>175</v>
      </c>
      <c r="D401" s="5">
        <v>45612</v>
      </c>
      <c r="E401">
        <v>2</v>
      </c>
      <c r="F401" t="s">
        <v>105</v>
      </c>
    </row>
    <row r="402" spans="1:6" x14ac:dyDescent="0.3">
      <c r="A402">
        <v>1401</v>
      </c>
      <c r="B402">
        <v>648</v>
      </c>
      <c r="C402" t="s">
        <v>9</v>
      </c>
      <c r="D402" s="5">
        <v>45547</v>
      </c>
      <c r="E402">
        <v>2</v>
      </c>
      <c r="F402" t="s">
        <v>43</v>
      </c>
    </row>
    <row r="403" spans="1:6" x14ac:dyDescent="0.3">
      <c r="A403">
        <v>1402</v>
      </c>
      <c r="B403">
        <v>633</v>
      </c>
      <c r="C403" t="s">
        <v>6</v>
      </c>
      <c r="D403" s="5">
        <v>45551</v>
      </c>
      <c r="E403">
        <v>12</v>
      </c>
      <c r="F403" t="s">
        <v>40</v>
      </c>
    </row>
    <row r="404" spans="1:6" x14ac:dyDescent="0.3">
      <c r="A404">
        <v>1403</v>
      </c>
      <c r="B404">
        <v>677</v>
      </c>
      <c r="C404" t="s">
        <v>169</v>
      </c>
      <c r="D404" s="5">
        <v>45370</v>
      </c>
      <c r="E404">
        <v>6</v>
      </c>
      <c r="F404" t="s">
        <v>171</v>
      </c>
    </row>
    <row r="405" spans="1:6" x14ac:dyDescent="0.3">
      <c r="A405">
        <v>1404</v>
      </c>
      <c r="B405">
        <v>587</v>
      </c>
      <c r="C405" t="s">
        <v>184</v>
      </c>
      <c r="D405" s="5">
        <v>45430</v>
      </c>
      <c r="E405">
        <v>13</v>
      </c>
      <c r="F405" t="s">
        <v>131</v>
      </c>
    </row>
    <row r="406" spans="1:6" x14ac:dyDescent="0.3">
      <c r="A406">
        <v>1405</v>
      </c>
      <c r="B406">
        <v>506</v>
      </c>
      <c r="C406" t="s">
        <v>129</v>
      </c>
      <c r="D406" s="5">
        <v>45586</v>
      </c>
      <c r="E406">
        <v>10</v>
      </c>
      <c r="F406" t="s">
        <v>131</v>
      </c>
    </row>
    <row r="407" spans="1:6" x14ac:dyDescent="0.3">
      <c r="A407">
        <v>1406</v>
      </c>
      <c r="B407">
        <v>556</v>
      </c>
      <c r="C407" t="s">
        <v>175</v>
      </c>
      <c r="D407" s="5">
        <v>45373</v>
      </c>
      <c r="E407">
        <v>16</v>
      </c>
      <c r="F407" t="s">
        <v>105</v>
      </c>
    </row>
    <row r="408" spans="1:6" x14ac:dyDescent="0.3">
      <c r="A408">
        <v>1407</v>
      </c>
      <c r="B408">
        <v>614</v>
      </c>
      <c r="C408" t="s">
        <v>158</v>
      </c>
      <c r="D408" s="5">
        <v>45571</v>
      </c>
      <c r="E408">
        <v>14</v>
      </c>
      <c r="F408" t="s">
        <v>112</v>
      </c>
    </row>
    <row r="409" spans="1:6" x14ac:dyDescent="0.3">
      <c r="A409">
        <v>1408</v>
      </c>
      <c r="B409">
        <v>679</v>
      </c>
      <c r="C409" t="s">
        <v>73</v>
      </c>
      <c r="D409" s="5">
        <v>45593</v>
      </c>
      <c r="E409">
        <v>2</v>
      </c>
      <c r="F409" t="s">
        <v>105</v>
      </c>
    </row>
    <row r="410" spans="1:6" x14ac:dyDescent="0.3">
      <c r="A410">
        <v>1409</v>
      </c>
      <c r="B410">
        <v>588</v>
      </c>
      <c r="C410" t="s">
        <v>173</v>
      </c>
      <c r="D410" s="5">
        <v>45547</v>
      </c>
      <c r="E410">
        <v>16</v>
      </c>
      <c r="F410" t="s">
        <v>135</v>
      </c>
    </row>
    <row r="411" spans="1:6" x14ac:dyDescent="0.3">
      <c r="A411">
        <v>1410</v>
      </c>
      <c r="B411">
        <v>610</v>
      </c>
      <c r="C411" t="s">
        <v>126</v>
      </c>
      <c r="D411" s="5">
        <v>45497</v>
      </c>
      <c r="E411">
        <v>18</v>
      </c>
      <c r="F411" t="s">
        <v>42</v>
      </c>
    </row>
    <row r="412" spans="1:6" x14ac:dyDescent="0.3">
      <c r="A412">
        <v>1411</v>
      </c>
      <c r="B412">
        <v>568</v>
      </c>
      <c r="C412" t="s">
        <v>72</v>
      </c>
      <c r="D412" s="5">
        <v>45460</v>
      </c>
      <c r="E412">
        <v>10</v>
      </c>
      <c r="F412" t="s">
        <v>41</v>
      </c>
    </row>
    <row r="413" spans="1:6" x14ac:dyDescent="0.3">
      <c r="A413">
        <v>1412</v>
      </c>
      <c r="B413">
        <v>736</v>
      </c>
      <c r="C413" t="s">
        <v>154</v>
      </c>
      <c r="D413" s="5">
        <v>45422</v>
      </c>
      <c r="E413">
        <v>19</v>
      </c>
      <c r="F413" t="s">
        <v>152</v>
      </c>
    </row>
    <row r="414" spans="1:6" x14ac:dyDescent="0.3">
      <c r="A414">
        <v>1413</v>
      </c>
      <c r="B414">
        <v>732</v>
      </c>
      <c r="C414" t="s">
        <v>114</v>
      </c>
      <c r="D414" s="5">
        <v>45643</v>
      </c>
      <c r="E414">
        <v>20</v>
      </c>
      <c r="F414" t="s">
        <v>40</v>
      </c>
    </row>
    <row r="415" spans="1:6" x14ac:dyDescent="0.3">
      <c r="A415">
        <v>1414</v>
      </c>
      <c r="B415">
        <v>628</v>
      </c>
      <c r="C415" t="s">
        <v>6</v>
      </c>
      <c r="D415" s="5">
        <v>45569</v>
      </c>
      <c r="E415">
        <v>18</v>
      </c>
      <c r="F415" t="s">
        <v>40</v>
      </c>
    </row>
    <row r="416" spans="1:6" x14ac:dyDescent="0.3">
      <c r="A416">
        <v>1415</v>
      </c>
      <c r="B416">
        <v>636</v>
      </c>
      <c r="C416" t="s">
        <v>175</v>
      </c>
      <c r="D416" s="5">
        <v>45600</v>
      </c>
      <c r="E416">
        <v>7</v>
      </c>
      <c r="F416" t="s">
        <v>105</v>
      </c>
    </row>
    <row r="417" spans="1:6" x14ac:dyDescent="0.3">
      <c r="A417">
        <v>1416</v>
      </c>
      <c r="B417">
        <v>695</v>
      </c>
      <c r="C417" t="s">
        <v>148</v>
      </c>
      <c r="D417" s="5">
        <v>45373</v>
      </c>
      <c r="E417">
        <v>8</v>
      </c>
      <c r="F417" t="s">
        <v>105</v>
      </c>
    </row>
    <row r="418" spans="1:6" x14ac:dyDescent="0.3">
      <c r="A418">
        <v>1417</v>
      </c>
      <c r="B418">
        <v>559</v>
      </c>
      <c r="C418" t="s">
        <v>142</v>
      </c>
      <c r="D418" s="5">
        <v>45364</v>
      </c>
      <c r="E418">
        <v>19</v>
      </c>
      <c r="F418" t="s">
        <v>43</v>
      </c>
    </row>
    <row r="419" spans="1:6" x14ac:dyDescent="0.3">
      <c r="A419">
        <v>1418</v>
      </c>
      <c r="B419">
        <v>663</v>
      </c>
      <c r="C419" t="s">
        <v>72</v>
      </c>
      <c r="D419" s="5">
        <v>45308</v>
      </c>
      <c r="E419">
        <v>15</v>
      </c>
      <c r="F419" t="s">
        <v>41</v>
      </c>
    </row>
    <row r="420" spans="1:6" x14ac:dyDescent="0.3">
      <c r="A420">
        <v>1419</v>
      </c>
      <c r="B420">
        <v>671</v>
      </c>
      <c r="C420" t="s">
        <v>181</v>
      </c>
      <c r="D420" s="5">
        <v>45556</v>
      </c>
      <c r="E420">
        <v>8</v>
      </c>
      <c r="F420" t="s">
        <v>164</v>
      </c>
    </row>
    <row r="421" spans="1:6" x14ac:dyDescent="0.3">
      <c r="A421">
        <v>1420</v>
      </c>
      <c r="B421">
        <v>702</v>
      </c>
      <c r="C421" t="s">
        <v>126</v>
      </c>
      <c r="D421" s="5">
        <v>45471</v>
      </c>
      <c r="E421">
        <v>19</v>
      </c>
      <c r="F421" t="s">
        <v>42</v>
      </c>
    </row>
    <row r="422" spans="1:6" x14ac:dyDescent="0.3">
      <c r="A422">
        <v>1421</v>
      </c>
      <c r="B422">
        <v>537</v>
      </c>
      <c r="C422" t="s">
        <v>158</v>
      </c>
      <c r="D422" s="5">
        <v>45610</v>
      </c>
      <c r="E422">
        <v>1</v>
      </c>
      <c r="F422" t="s">
        <v>112</v>
      </c>
    </row>
    <row r="423" spans="1:6" x14ac:dyDescent="0.3">
      <c r="A423">
        <v>1422</v>
      </c>
      <c r="B423">
        <v>646</v>
      </c>
      <c r="C423" t="s">
        <v>173</v>
      </c>
      <c r="D423" s="5">
        <v>45331</v>
      </c>
      <c r="E423">
        <v>16</v>
      </c>
      <c r="F423" t="s">
        <v>135</v>
      </c>
    </row>
    <row r="424" spans="1:6" x14ac:dyDescent="0.3">
      <c r="A424">
        <v>1423</v>
      </c>
      <c r="B424">
        <v>538</v>
      </c>
      <c r="C424" t="s">
        <v>154</v>
      </c>
      <c r="D424" s="5">
        <v>45657</v>
      </c>
      <c r="E424">
        <v>20</v>
      </c>
      <c r="F424" t="s">
        <v>152</v>
      </c>
    </row>
    <row r="425" spans="1:6" x14ac:dyDescent="0.3">
      <c r="A425">
        <v>1424</v>
      </c>
      <c r="B425">
        <v>610</v>
      </c>
      <c r="C425" t="s">
        <v>133</v>
      </c>
      <c r="D425" s="5">
        <v>45343</v>
      </c>
      <c r="E425">
        <v>4</v>
      </c>
      <c r="F425" t="s">
        <v>135</v>
      </c>
    </row>
    <row r="426" spans="1:6" x14ac:dyDescent="0.3">
      <c r="A426">
        <v>1425</v>
      </c>
      <c r="B426">
        <v>583</v>
      </c>
      <c r="C426" t="s">
        <v>129</v>
      </c>
      <c r="D426" s="5">
        <v>45437</v>
      </c>
      <c r="E426">
        <v>9</v>
      </c>
      <c r="F426" t="s">
        <v>131</v>
      </c>
    </row>
    <row r="427" spans="1:6" x14ac:dyDescent="0.3">
      <c r="A427">
        <v>1426</v>
      </c>
      <c r="B427">
        <v>578</v>
      </c>
      <c r="C427" t="s">
        <v>10</v>
      </c>
      <c r="D427" s="5">
        <v>45628</v>
      </c>
      <c r="E427">
        <v>5</v>
      </c>
      <c r="F427" t="s">
        <v>44</v>
      </c>
    </row>
    <row r="428" spans="1:6" x14ac:dyDescent="0.3">
      <c r="A428">
        <v>1427</v>
      </c>
      <c r="B428">
        <v>562</v>
      </c>
      <c r="C428" t="s">
        <v>73</v>
      </c>
      <c r="D428" s="5">
        <v>45467</v>
      </c>
      <c r="E428">
        <v>7</v>
      </c>
      <c r="F428" t="s">
        <v>105</v>
      </c>
    </row>
    <row r="429" spans="1:6" x14ac:dyDescent="0.3">
      <c r="A429">
        <v>1428</v>
      </c>
      <c r="B429">
        <v>574</v>
      </c>
      <c r="C429" t="s">
        <v>173</v>
      </c>
      <c r="D429" s="5">
        <v>45510</v>
      </c>
      <c r="E429">
        <v>6</v>
      </c>
      <c r="F429" t="s">
        <v>135</v>
      </c>
    </row>
    <row r="430" spans="1:6" x14ac:dyDescent="0.3">
      <c r="A430">
        <v>1429</v>
      </c>
      <c r="B430">
        <v>590</v>
      </c>
      <c r="C430" t="s">
        <v>145</v>
      </c>
      <c r="D430" s="5">
        <v>45631</v>
      </c>
      <c r="E430">
        <v>16</v>
      </c>
      <c r="F430" t="s">
        <v>135</v>
      </c>
    </row>
    <row r="431" spans="1:6" x14ac:dyDescent="0.3">
      <c r="A431">
        <v>1430</v>
      </c>
      <c r="B431">
        <v>683</v>
      </c>
      <c r="C431" t="s">
        <v>7</v>
      </c>
      <c r="D431" s="5">
        <v>45616</v>
      </c>
      <c r="E431">
        <v>8</v>
      </c>
      <c r="F431" t="s">
        <v>41</v>
      </c>
    </row>
    <row r="432" spans="1:6" x14ac:dyDescent="0.3">
      <c r="A432">
        <v>1431</v>
      </c>
      <c r="B432">
        <v>629</v>
      </c>
      <c r="C432" t="s">
        <v>175</v>
      </c>
      <c r="D432" s="5">
        <v>45466</v>
      </c>
      <c r="E432">
        <v>1</v>
      </c>
      <c r="F432" t="s">
        <v>105</v>
      </c>
    </row>
    <row r="433" spans="1:6" x14ac:dyDescent="0.3">
      <c r="A433">
        <v>1432</v>
      </c>
      <c r="B433">
        <v>563</v>
      </c>
      <c r="C433" t="s">
        <v>137</v>
      </c>
      <c r="D433" s="5">
        <v>45427</v>
      </c>
      <c r="E433">
        <v>15</v>
      </c>
      <c r="F433" t="s">
        <v>135</v>
      </c>
    </row>
    <row r="434" spans="1:6" x14ac:dyDescent="0.3">
      <c r="A434">
        <v>1433</v>
      </c>
      <c r="B434">
        <v>505</v>
      </c>
      <c r="C434" t="s">
        <v>175</v>
      </c>
      <c r="D434" s="5">
        <v>45462</v>
      </c>
      <c r="E434">
        <v>19</v>
      </c>
      <c r="F434" t="s">
        <v>105</v>
      </c>
    </row>
    <row r="435" spans="1:6" x14ac:dyDescent="0.3">
      <c r="A435">
        <v>1434</v>
      </c>
      <c r="B435">
        <v>673</v>
      </c>
      <c r="C435" t="s">
        <v>142</v>
      </c>
      <c r="D435" s="5">
        <v>45307</v>
      </c>
      <c r="E435">
        <v>17</v>
      </c>
      <c r="F435" t="s">
        <v>43</v>
      </c>
    </row>
    <row r="436" spans="1:6" x14ac:dyDescent="0.3">
      <c r="A436">
        <v>1435</v>
      </c>
      <c r="B436">
        <v>622</v>
      </c>
      <c r="C436" t="s">
        <v>148</v>
      </c>
      <c r="D436" s="5">
        <v>45374</v>
      </c>
      <c r="E436">
        <v>2</v>
      </c>
      <c r="F436" t="s">
        <v>105</v>
      </c>
    </row>
    <row r="437" spans="1:6" x14ac:dyDescent="0.3">
      <c r="A437">
        <v>1436</v>
      </c>
      <c r="B437">
        <v>537</v>
      </c>
      <c r="C437" t="s">
        <v>8</v>
      </c>
      <c r="D437" s="5">
        <v>45355</v>
      </c>
      <c r="E437">
        <v>19</v>
      </c>
      <c r="F437" t="s">
        <v>42</v>
      </c>
    </row>
    <row r="438" spans="1:6" x14ac:dyDescent="0.3">
      <c r="A438">
        <v>1437</v>
      </c>
      <c r="B438">
        <v>544</v>
      </c>
      <c r="C438" t="s">
        <v>11</v>
      </c>
      <c r="D438" s="5">
        <v>45504</v>
      </c>
      <c r="E438">
        <v>14</v>
      </c>
      <c r="F438" t="s">
        <v>105</v>
      </c>
    </row>
    <row r="439" spans="1:6" x14ac:dyDescent="0.3">
      <c r="A439">
        <v>1438</v>
      </c>
      <c r="B439">
        <v>635</v>
      </c>
      <c r="C439" t="s">
        <v>114</v>
      </c>
      <c r="D439" s="5">
        <v>45582</v>
      </c>
      <c r="E439">
        <v>15</v>
      </c>
      <c r="F439" t="s">
        <v>40</v>
      </c>
    </row>
    <row r="440" spans="1:6" x14ac:dyDescent="0.3">
      <c r="A440">
        <v>1439</v>
      </c>
      <c r="B440">
        <v>686</v>
      </c>
      <c r="C440" t="s">
        <v>148</v>
      </c>
      <c r="D440" s="5">
        <v>45425</v>
      </c>
      <c r="E440">
        <v>7</v>
      </c>
      <c r="F440" t="s">
        <v>105</v>
      </c>
    </row>
    <row r="441" spans="1:6" x14ac:dyDescent="0.3">
      <c r="A441">
        <v>1440</v>
      </c>
      <c r="B441">
        <v>677</v>
      </c>
      <c r="C441" t="s">
        <v>10</v>
      </c>
      <c r="D441" s="5">
        <v>45298</v>
      </c>
      <c r="E441">
        <v>20</v>
      </c>
      <c r="F441" t="s">
        <v>44</v>
      </c>
    </row>
    <row r="442" spans="1:6" x14ac:dyDescent="0.3">
      <c r="A442">
        <v>1441</v>
      </c>
      <c r="B442">
        <v>513</v>
      </c>
      <c r="C442" t="s">
        <v>166</v>
      </c>
      <c r="D442" s="5">
        <v>45332</v>
      </c>
      <c r="E442">
        <v>12</v>
      </c>
      <c r="F442" t="s">
        <v>40</v>
      </c>
    </row>
    <row r="443" spans="1:6" x14ac:dyDescent="0.3">
      <c r="A443">
        <v>1442</v>
      </c>
      <c r="B443">
        <v>604</v>
      </c>
      <c r="C443" t="s">
        <v>156</v>
      </c>
      <c r="D443" s="5">
        <v>45558</v>
      </c>
      <c r="E443">
        <v>14</v>
      </c>
      <c r="F443" t="s">
        <v>112</v>
      </c>
    </row>
    <row r="444" spans="1:6" x14ac:dyDescent="0.3">
      <c r="A444">
        <v>1443</v>
      </c>
      <c r="B444">
        <v>700</v>
      </c>
      <c r="C444" t="s">
        <v>140</v>
      </c>
      <c r="D444" s="5">
        <v>45576</v>
      </c>
      <c r="E444">
        <v>1</v>
      </c>
      <c r="F444" t="s">
        <v>41</v>
      </c>
    </row>
    <row r="445" spans="1:6" x14ac:dyDescent="0.3">
      <c r="A445">
        <v>1444</v>
      </c>
      <c r="B445">
        <v>691</v>
      </c>
      <c r="C445" t="s">
        <v>11</v>
      </c>
      <c r="D445" s="5">
        <v>45321</v>
      </c>
      <c r="E445">
        <v>15</v>
      </c>
      <c r="F445" t="s">
        <v>105</v>
      </c>
    </row>
    <row r="446" spans="1:6" x14ac:dyDescent="0.3">
      <c r="A446">
        <v>1445</v>
      </c>
      <c r="B446">
        <v>604</v>
      </c>
      <c r="C446" t="s">
        <v>6</v>
      </c>
      <c r="D446" s="5">
        <v>45403</v>
      </c>
      <c r="E446">
        <v>9</v>
      </c>
      <c r="F446" t="s">
        <v>40</v>
      </c>
    </row>
    <row r="447" spans="1:6" x14ac:dyDescent="0.3">
      <c r="A447">
        <v>1446</v>
      </c>
      <c r="B447">
        <v>676</v>
      </c>
      <c r="C447" t="s">
        <v>184</v>
      </c>
      <c r="D447" s="5">
        <v>45647</v>
      </c>
      <c r="E447">
        <v>19</v>
      </c>
      <c r="F447" t="s">
        <v>131</v>
      </c>
    </row>
    <row r="448" spans="1:6" x14ac:dyDescent="0.3">
      <c r="A448">
        <v>1447</v>
      </c>
      <c r="B448">
        <v>597</v>
      </c>
      <c r="C448" t="s">
        <v>137</v>
      </c>
      <c r="D448" s="5">
        <v>45565</v>
      </c>
      <c r="E448">
        <v>2</v>
      </c>
      <c r="F448" t="s">
        <v>135</v>
      </c>
    </row>
    <row r="449" spans="1:6" x14ac:dyDescent="0.3">
      <c r="A449">
        <v>1448</v>
      </c>
      <c r="B449">
        <v>578</v>
      </c>
      <c r="C449" t="s">
        <v>72</v>
      </c>
      <c r="D449" s="5">
        <v>45541</v>
      </c>
      <c r="E449">
        <v>16</v>
      </c>
      <c r="F449" t="s">
        <v>41</v>
      </c>
    </row>
    <row r="450" spans="1:6" x14ac:dyDescent="0.3">
      <c r="A450">
        <v>1449</v>
      </c>
      <c r="B450">
        <v>674</v>
      </c>
      <c r="C450" t="s">
        <v>7</v>
      </c>
      <c r="D450" s="5">
        <v>45480</v>
      </c>
      <c r="E450">
        <v>16</v>
      </c>
      <c r="F450" t="s">
        <v>41</v>
      </c>
    </row>
    <row r="451" spans="1:6" x14ac:dyDescent="0.3">
      <c r="A451">
        <v>1450</v>
      </c>
      <c r="B451">
        <v>701</v>
      </c>
      <c r="C451" t="s">
        <v>129</v>
      </c>
      <c r="D451" s="5">
        <v>45349</v>
      </c>
      <c r="E451">
        <v>9</v>
      </c>
      <c r="F451" t="s">
        <v>131</v>
      </c>
    </row>
    <row r="452" spans="1:6" x14ac:dyDescent="0.3">
      <c r="A452">
        <v>1451</v>
      </c>
      <c r="B452">
        <v>568</v>
      </c>
      <c r="C452" t="s">
        <v>169</v>
      </c>
      <c r="D452" s="5">
        <v>45601</v>
      </c>
      <c r="E452">
        <v>4</v>
      </c>
      <c r="F452" t="s">
        <v>171</v>
      </c>
    </row>
    <row r="453" spans="1:6" x14ac:dyDescent="0.3">
      <c r="A453">
        <v>1452</v>
      </c>
      <c r="B453">
        <v>750</v>
      </c>
      <c r="C453" t="s">
        <v>126</v>
      </c>
      <c r="D453" s="5">
        <v>45522</v>
      </c>
      <c r="E453">
        <v>10</v>
      </c>
      <c r="F453" t="s">
        <v>42</v>
      </c>
    </row>
    <row r="454" spans="1:6" x14ac:dyDescent="0.3">
      <c r="A454">
        <v>1453</v>
      </c>
      <c r="B454">
        <v>511</v>
      </c>
      <c r="C454" t="s">
        <v>123</v>
      </c>
      <c r="D454" s="5">
        <v>45532</v>
      </c>
      <c r="E454">
        <v>2</v>
      </c>
      <c r="F454" t="s">
        <v>112</v>
      </c>
    </row>
    <row r="455" spans="1:6" x14ac:dyDescent="0.3">
      <c r="A455">
        <v>1454</v>
      </c>
      <c r="B455">
        <v>544</v>
      </c>
      <c r="C455" t="s">
        <v>117</v>
      </c>
      <c r="D455" s="5">
        <v>45316</v>
      </c>
      <c r="E455">
        <v>10</v>
      </c>
      <c r="F455" t="s">
        <v>119</v>
      </c>
    </row>
    <row r="456" spans="1:6" x14ac:dyDescent="0.3">
      <c r="A456">
        <v>1455</v>
      </c>
      <c r="B456">
        <v>522</v>
      </c>
      <c r="C456" t="s">
        <v>169</v>
      </c>
      <c r="D456" s="5">
        <v>45583</v>
      </c>
      <c r="E456">
        <v>12</v>
      </c>
      <c r="F456" t="s">
        <v>171</v>
      </c>
    </row>
    <row r="457" spans="1:6" x14ac:dyDescent="0.3">
      <c r="A457">
        <v>1456</v>
      </c>
      <c r="B457">
        <v>622</v>
      </c>
      <c r="C457" t="s">
        <v>142</v>
      </c>
      <c r="D457" s="5">
        <v>45603</v>
      </c>
      <c r="E457">
        <v>19</v>
      </c>
      <c r="F457" t="s">
        <v>43</v>
      </c>
    </row>
    <row r="458" spans="1:6" x14ac:dyDescent="0.3">
      <c r="A458">
        <v>1457</v>
      </c>
      <c r="B458">
        <v>673</v>
      </c>
      <c r="C458" t="s">
        <v>160</v>
      </c>
      <c r="D458" s="5">
        <v>45429</v>
      </c>
      <c r="E458">
        <v>8</v>
      </c>
      <c r="F458" t="s">
        <v>41</v>
      </c>
    </row>
    <row r="459" spans="1:6" x14ac:dyDescent="0.3">
      <c r="A459">
        <v>1458</v>
      </c>
      <c r="B459">
        <v>706</v>
      </c>
      <c r="C459" t="s">
        <v>158</v>
      </c>
      <c r="D459" s="5">
        <v>45360</v>
      </c>
      <c r="E459">
        <v>3</v>
      </c>
      <c r="F459" t="s">
        <v>112</v>
      </c>
    </row>
    <row r="460" spans="1:6" x14ac:dyDescent="0.3">
      <c r="A460">
        <v>1459</v>
      </c>
      <c r="B460">
        <v>626</v>
      </c>
      <c r="C460" t="s">
        <v>173</v>
      </c>
      <c r="D460" s="5">
        <v>45344</v>
      </c>
      <c r="E460">
        <v>8</v>
      </c>
      <c r="F460" t="s">
        <v>135</v>
      </c>
    </row>
    <row r="461" spans="1:6" x14ac:dyDescent="0.3">
      <c r="A461">
        <v>1460</v>
      </c>
      <c r="B461">
        <v>727</v>
      </c>
      <c r="C461" t="s">
        <v>156</v>
      </c>
      <c r="D461" s="5">
        <v>45620</v>
      </c>
      <c r="E461">
        <v>20</v>
      </c>
      <c r="F461" t="s">
        <v>112</v>
      </c>
    </row>
    <row r="462" spans="1:6" x14ac:dyDescent="0.3">
      <c r="A462">
        <v>1461</v>
      </c>
      <c r="B462">
        <v>608</v>
      </c>
      <c r="C462" t="s">
        <v>117</v>
      </c>
      <c r="D462" s="5">
        <v>45313</v>
      </c>
      <c r="E462">
        <v>16</v>
      </c>
      <c r="F462" t="s">
        <v>119</v>
      </c>
    </row>
    <row r="463" spans="1:6" x14ac:dyDescent="0.3">
      <c r="A463">
        <v>1462</v>
      </c>
      <c r="B463">
        <v>562</v>
      </c>
      <c r="C463" t="s">
        <v>9</v>
      </c>
      <c r="D463" s="5">
        <v>45318</v>
      </c>
      <c r="E463">
        <v>10</v>
      </c>
      <c r="F463" t="s">
        <v>43</v>
      </c>
    </row>
    <row r="464" spans="1:6" x14ac:dyDescent="0.3">
      <c r="A464">
        <v>1463</v>
      </c>
      <c r="B464">
        <v>546</v>
      </c>
      <c r="C464" t="s">
        <v>121</v>
      </c>
      <c r="D464" s="5">
        <v>45551</v>
      </c>
      <c r="E464">
        <v>13</v>
      </c>
      <c r="F464" t="s">
        <v>105</v>
      </c>
    </row>
    <row r="465" spans="1:6" x14ac:dyDescent="0.3">
      <c r="A465">
        <v>1464</v>
      </c>
      <c r="B465">
        <v>531</v>
      </c>
      <c r="C465" t="s">
        <v>6</v>
      </c>
      <c r="D465" s="5">
        <v>45304</v>
      </c>
      <c r="E465">
        <v>7</v>
      </c>
      <c r="F465" t="s">
        <v>40</v>
      </c>
    </row>
    <row r="466" spans="1:6" x14ac:dyDescent="0.3">
      <c r="A466">
        <v>1465</v>
      </c>
      <c r="B466">
        <v>705</v>
      </c>
      <c r="C466" t="s">
        <v>10</v>
      </c>
      <c r="D466" s="5">
        <v>45526</v>
      </c>
      <c r="E466">
        <v>6</v>
      </c>
      <c r="F466" t="s">
        <v>44</v>
      </c>
    </row>
    <row r="467" spans="1:6" x14ac:dyDescent="0.3">
      <c r="A467">
        <v>1466</v>
      </c>
      <c r="B467">
        <v>504</v>
      </c>
      <c r="C467" t="s">
        <v>158</v>
      </c>
      <c r="D467" s="5">
        <v>45582</v>
      </c>
      <c r="E467">
        <v>20</v>
      </c>
      <c r="F467" t="s">
        <v>112</v>
      </c>
    </row>
    <row r="468" spans="1:6" x14ac:dyDescent="0.3">
      <c r="A468">
        <v>1467</v>
      </c>
      <c r="B468">
        <v>546</v>
      </c>
      <c r="C468" t="s">
        <v>129</v>
      </c>
      <c r="D468" s="5">
        <v>45537</v>
      </c>
      <c r="E468">
        <v>19</v>
      </c>
      <c r="F468" t="s">
        <v>131</v>
      </c>
    </row>
    <row r="469" spans="1:6" x14ac:dyDescent="0.3">
      <c r="A469">
        <v>1468</v>
      </c>
      <c r="B469">
        <v>513</v>
      </c>
      <c r="C469" t="s">
        <v>72</v>
      </c>
      <c r="D469" s="5">
        <v>45457</v>
      </c>
      <c r="E469">
        <v>2</v>
      </c>
      <c r="F469" t="s">
        <v>41</v>
      </c>
    </row>
    <row r="470" spans="1:6" x14ac:dyDescent="0.3">
      <c r="A470">
        <v>1469</v>
      </c>
      <c r="B470">
        <v>716</v>
      </c>
      <c r="C470" t="s">
        <v>175</v>
      </c>
      <c r="D470" s="5">
        <v>45462</v>
      </c>
      <c r="E470">
        <v>12</v>
      </c>
      <c r="F470" t="s">
        <v>105</v>
      </c>
    </row>
    <row r="471" spans="1:6" x14ac:dyDescent="0.3">
      <c r="A471">
        <v>1470</v>
      </c>
      <c r="B471">
        <v>713</v>
      </c>
      <c r="C471" t="s">
        <v>126</v>
      </c>
      <c r="D471" s="5">
        <v>45387</v>
      </c>
      <c r="E471">
        <v>6</v>
      </c>
      <c r="F471" t="s">
        <v>42</v>
      </c>
    </row>
    <row r="472" spans="1:6" x14ac:dyDescent="0.3">
      <c r="A472">
        <v>1471</v>
      </c>
      <c r="B472">
        <v>509</v>
      </c>
      <c r="C472" t="s">
        <v>169</v>
      </c>
      <c r="D472" s="5">
        <v>45394</v>
      </c>
      <c r="E472">
        <v>13</v>
      </c>
      <c r="F472" t="s">
        <v>171</v>
      </c>
    </row>
    <row r="473" spans="1:6" x14ac:dyDescent="0.3">
      <c r="A473">
        <v>1472</v>
      </c>
      <c r="B473">
        <v>708</v>
      </c>
      <c r="C473" t="s">
        <v>129</v>
      </c>
      <c r="D473" s="5">
        <v>45320</v>
      </c>
      <c r="E473">
        <v>15</v>
      </c>
      <c r="F473" t="s">
        <v>131</v>
      </c>
    </row>
    <row r="474" spans="1:6" x14ac:dyDescent="0.3">
      <c r="A474">
        <v>1473</v>
      </c>
      <c r="B474">
        <v>527</v>
      </c>
      <c r="C474" t="s">
        <v>181</v>
      </c>
      <c r="D474" s="5">
        <v>45303</v>
      </c>
      <c r="E474">
        <v>3</v>
      </c>
      <c r="F474" t="s">
        <v>164</v>
      </c>
    </row>
    <row r="475" spans="1:6" x14ac:dyDescent="0.3">
      <c r="A475">
        <v>1474</v>
      </c>
      <c r="B475">
        <v>744</v>
      </c>
      <c r="C475" t="s">
        <v>7</v>
      </c>
      <c r="D475" s="5">
        <v>45511</v>
      </c>
      <c r="E475">
        <v>1</v>
      </c>
      <c r="F475" t="s">
        <v>41</v>
      </c>
    </row>
    <row r="476" spans="1:6" x14ac:dyDescent="0.3">
      <c r="A476">
        <v>1475</v>
      </c>
      <c r="B476">
        <v>573</v>
      </c>
      <c r="C476" t="s">
        <v>145</v>
      </c>
      <c r="D476" s="5">
        <v>45365</v>
      </c>
      <c r="E476">
        <v>4</v>
      </c>
      <c r="F476" t="s">
        <v>135</v>
      </c>
    </row>
    <row r="477" spans="1:6" x14ac:dyDescent="0.3">
      <c r="A477">
        <v>1476</v>
      </c>
      <c r="B477">
        <v>603</v>
      </c>
      <c r="C477" t="s">
        <v>110</v>
      </c>
      <c r="D477" s="5">
        <v>45623</v>
      </c>
      <c r="E477">
        <v>18</v>
      </c>
      <c r="F477" t="s">
        <v>112</v>
      </c>
    </row>
    <row r="478" spans="1:6" x14ac:dyDescent="0.3">
      <c r="A478">
        <v>1477</v>
      </c>
      <c r="B478">
        <v>562</v>
      </c>
      <c r="C478" t="s">
        <v>166</v>
      </c>
      <c r="D478" s="5">
        <v>45479</v>
      </c>
      <c r="E478">
        <v>17</v>
      </c>
      <c r="F478" t="s">
        <v>40</v>
      </c>
    </row>
    <row r="479" spans="1:6" x14ac:dyDescent="0.3">
      <c r="A479">
        <v>1478</v>
      </c>
      <c r="B479">
        <v>706</v>
      </c>
      <c r="C479" t="s">
        <v>156</v>
      </c>
      <c r="D479" s="5">
        <v>45650</v>
      </c>
      <c r="E479">
        <v>6</v>
      </c>
      <c r="F479" t="s">
        <v>112</v>
      </c>
    </row>
    <row r="480" spans="1:6" x14ac:dyDescent="0.3">
      <c r="A480">
        <v>1479</v>
      </c>
      <c r="B480">
        <v>610</v>
      </c>
      <c r="C480" t="s">
        <v>126</v>
      </c>
      <c r="D480" s="5">
        <v>45358</v>
      </c>
      <c r="E480">
        <v>2</v>
      </c>
      <c r="F480" t="s">
        <v>42</v>
      </c>
    </row>
    <row r="481" spans="1:6" x14ac:dyDescent="0.3">
      <c r="A481">
        <v>1480</v>
      </c>
      <c r="B481">
        <v>599</v>
      </c>
      <c r="C481" t="s">
        <v>10</v>
      </c>
      <c r="D481" s="5">
        <v>45421</v>
      </c>
      <c r="E481">
        <v>13</v>
      </c>
      <c r="F481" t="s">
        <v>44</v>
      </c>
    </row>
    <row r="482" spans="1:6" x14ac:dyDescent="0.3">
      <c r="A482">
        <v>1481</v>
      </c>
      <c r="B482">
        <v>721</v>
      </c>
      <c r="C482" t="s">
        <v>175</v>
      </c>
      <c r="D482" s="5">
        <v>45458</v>
      </c>
      <c r="E482">
        <v>16</v>
      </c>
      <c r="F482" t="s">
        <v>105</v>
      </c>
    </row>
    <row r="483" spans="1:6" x14ac:dyDescent="0.3">
      <c r="A483">
        <v>1482</v>
      </c>
      <c r="B483">
        <v>660</v>
      </c>
      <c r="C483" t="s">
        <v>11</v>
      </c>
      <c r="D483" s="5">
        <v>45304</v>
      </c>
      <c r="E483">
        <v>3</v>
      </c>
      <c r="F483" t="s">
        <v>105</v>
      </c>
    </row>
    <row r="484" spans="1:6" x14ac:dyDescent="0.3">
      <c r="A484">
        <v>1483</v>
      </c>
      <c r="B484">
        <v>508</v>
      </c>
      <c r="C484" t="s">
        <v>7</v>
      </c>
      <c r="D484" s="5">
        <v>45498</v>
      </c>
      <c r="E484">
        <v>4</v>
      </c>
      <c r="F484" t="s">
        <v>41</v>
      </c>
    </row>
    <row r="485" spans="1:6" x14ac:dyDescent="0.3">
      <c r="A485">
        <v>1484</v>
      </c>
      <c r="B485">
        <v>653</v>
      </c>
      <c r="C485" t="s">
        <v>140</v>
      </c>
      <c r="D485" s="5">
        <v>45448</v>
      </c>
      <c r="E485">
        <v>3</v>
      </c>
      <c r="F485" t="s">
        <v>41</v>
      </c>
    </row>
    <row r="486" spans="1:6" x14ac:dyDescent="0.3">
      <c r="A486">
        <v>1485</v>
      </c>
      <c r="B486">
        <v>602</v>
      </c>
      <c r="C486" t="s">
        <v>10</v>
      </c>
      <c r="D486" s="5">
        <v>45532</v>
      </c>
      <c r="E486">
        <v>4</v>
      </c>
      <c r="F486" t="s">
        <v>44</v>
      </c>
    </row>
    <row r="487" spans="1:6" x14ac:dyDescent="0.3">
      <c r="A487">
        <v>1486</v>
      </c>
      <c r="B487">
        <v>568</v>
      </c>
      <c r="C487" t="s">
        <v>129</v>
      </c>
      <c r="D487" s="5">
        <v>45547</v>
      </c>
      <c r="E487">
        <v>3</v>
      </c>
      <c r="F487" t="s">
        <v>131</v>
      </c>
    </row>
    <row r="488" spans="1:6" x14ac:dyDescent="0.3">
      <c r="A488">
        <v>1487</v>
      </c>
      <c r="B488">
        <v>726</v>
      </c>
      <c r="C488" t="s">
        <v>154</v>
      </c>
      <c r="D488" s="5">
        <v>45426</v>
      </c>
      <c r="E488">
        <v>12</v>
      </c>
      <c r="F488" t="s">
        <v>152</v>
      </c>
    </row>
    <row r="489" spans="1:6" x14ac:dyDescent="0.3">
      <c r="A489">
        <v>1488</v>
      </c>
      <c r="B489">
        <v>509</v>
      </c>
      <c r="C489" t="s">
        <v>154</v>
      </c>
      <c r="D489" s="5">
        <v>45296</v>
      </c>
      <c r="E489">
        <v>12</v>
      </c>
      <c r="F489" t="s">
        <v>152</v>
      </c>
    </row>
    <row r="490" spans="1:6" x14ac:dyDescent="0.3">
      <c r="A490">
        <v>1489</v>
      </c>
      <c r="B490">
        <v>626</v>
      </c>
      <c r="C490" t="s">
        <v>181</v>
      </c>
      <c r="D490" s="5">
        <v>45351</v>
      </c>
      <c r="E490">
        <v>15</v>
      </c>
      <c r="F490" t="s">
        <v>164</v>
      </c>
    </row>
    <row r="491" spans="1:6" x14ac:dyDescent="0.3">
      <c r="A491">
        <v>1490</v>
      </c>
      <c r="B491">
        <v>506</v>
      </c>
      <c r="C491" t="s">
        <v>148</v>
      </c>
      <c r="D491" s="5">
        <v>45509</v>
      </c>
      <c r="E491">
        <v>2</v>
      </c>
      <c r="F491" t="s">
        <v>105</v>
      </c>
    </row>
    <row r="492" spans="1:6" x14ac:dyDescent="0.3">
      <c r="A492">
        <v>1491</v>
      </c>
      <c r="B492">
        <v>569</v>
      </c>
      <c r="C492" t="s">
        <v>156</v>
      </c>
      <c r="D492" s="5">
        <v>45617</v>
      </c>
      <c r="E492">
        <v>13</v>
      </c>
      <c r="F492" t="s">
        <v>112</v>
      </c>
    </row>
    <row r="493" spans="1:6" x14ac:dyDescent="0.3">
      <c r="A493">
        <v>1492</v>
      </c>
      <c r="B493">
        <v>711</v>
      </c>
      <c r="C493" t="s">
        <v>145</v>
      </c>
      <c r="D493" s="5">
        <v>45598</v>
      </c>
      <c r="E493">
        <v>5</v>
      </c>
      <c r="F493" t="s">
        <v>135</v>
      </c>
    </row>
    <row r="494" spans="1:6" x14ac:dyDescent="0.3">
      <c r="A494">
        <v>1493</v>
      </c>
      <c r="B494">
        <v>724</v>
      </c>
      <c r="C494" t="s">
        <v>110</v>
      </c>
      <c r="D494" s="5">
        <v>45407</v>
      </c>
      <c r="E494">
        <v>19</v>
      </c>
      <c r="F494" t="s">
        <v>112</v>
      </c>
    </row>
    <row r="495" spans="1:6" x14ac:dyDescent="0.3">
      <c r="A495">
        <v>1494</v>
      </c>
      <c r="B495">
        <v>583</v>
      </c>
      <c r="C495" t="s">
        <v>7</v>
      </c>
      <c r="D495" s="5">
        <v>45395</v>
      </c>
      <c r="E495">
        <v>2</v>
      </c>
      <c r="F495" t="s">
        <v>41</v>
      </c>
    </row>
    <row r="496" spans="1:6" x14ac:dyDescent="0.3">
      <c r="A496">
        <v>1495</v>
      </c>
      <c r="B496">
        <v>642</v>
      </c>
      <c r="C496" t="s">
        <v>121</v>
      </c>
      <c r="D496" s="5">
        <v>45513</v>
      </c>
      <c r="E496">
        <v>20</v>
      </c>
      <c r="F496" t="s">
        <v>105</v>
      </c>
    </row>
    <row r="497" spans="1:6" x14ac:dyDescent="0.3">
      <c r="A497">
        <v>1496</v>
      </c>
      <c r="B497">
        <v>654</v>
      </c>
      <c r="C497" t="s">
        <v>158</v>
      </c>
      <c r="D497" s="5">
        <v>45564</v>
      </c>
      <c r="E497">
        <v>9</v>
      </c>
      <c r="F497" t="s">
        <v>112</v>
      </c>
    </row>
    <row r="498" spans="1:6" x14ac:dyDescent="0.3">
      <c r="A498">
        <v>1497</v>
      </c>
      <c r="B498">
        <v>741</v>
      </c>
      <c r="C498" t="s">
        <v>11</v>
      </c>
      <c r="D498" s="5">
        <v>45508</v>
      </c>
      <c r="E498">
        <v>16</v>
      </c>
      <c r="F498" t="s">
        <v>105</v>
      </c>
    </row>
    <row r="499" spans="1:6" x14ac:dyDescent="0.3">
      <c r="A499">
        <v>1498</v>
      </c>
      <c r="B499">
        <v>530</v>
      </c>
      <c r="C499" t="s">
        <v>110</v>
      </c>
      <c r="D499" s="5">
        <v>45485</v>
      </c>
      <c r="E499">
        <v>18</v>
      </c>
      <c r="F499" t="s">
        <v>112</v>
      </c>
    </row>
    <row r="500" spans="1:6" x14ac:dyDescent="0.3">
      <c r="A500">
        <v>1499</v>
      </c>
      <c r="B500">
        <v>599</v>
      </c>
      <c r="C500" t="s">
        <v>156</v>
      </c>
      <c r="D500" s="5">
        <v>45505</v>
      </c>
      <c r="E500">
        <v>20</v>
      </c>
      <c r="F500" t="s">
        <v>112</v>
      </c>
    </row>
    <row r="501" spans="1:6" x14ac:dyDescent="0.3">
      <c r="A501">
        <v>1500</v>
      </c>
      <c r="B501">
        <v>562</v>
      </c>
      <c r="C501" t="s">
        <v>72</v>
      </c>
      <c r="D501" s="5">
        <v>45452</v>
      </c>
      <c r="E501">
        <v>16</v>
      </c>
      <c r="F501" t="s">
        <v>41</v>
      </c>
    </row>
    <row r="502" spans="1:6" x14ac:dyDescent="0.3">
      <c r="A502">
        <v>1501</v>
      </c>
      <c r="B502">
        <v>634</v>
      </c>
      <c r="C502" t="s">
        <v>148</v>
      </c>
      <c r="D502" s="5">
        <v>45627</v>
      </c>
      <c r="E502">
        <v>20</v>
      </c>
      <c r="F502" t="s">
        <v>105</v>
      </c>
    </row>
    <row r="503" spans="1:6" x14ac:dyDescent="0.3">
      <c r="A503">
        <v>1502</v>
      </c>
      <c r="B503">
        <v>554</v>
      </c>
      <c r="C503" t="s">
        <v>7</v>
      </c>
      <c r="D503" s="5">
        <v>45401</v>
      </c>
      <c r="E503">
        <v>13</v>
      </c>
      <c r="F503" t="s">
        <v>41</v>
      </c>
    </row>
    <row r="504" spans="1:6" x14ac:dyDescent="0.3">
      <c r="A504">
        <v>1503</v>
      </c>
      <c r="B504">
        <v>649</v>
      </c>
      <c r="C504" t="s">
        <v>148</v>
      </c>
      <c r="D504" s="5">
        <v>45307</v>
      </c>
      <c r="E504">
        <v>12</v>
      </c>
      <c r="F504" t="s">
        <v>105</v>
      </c>
    </row>
    <row r="505" spans="1:6" x14ac:dyDescent="0.3">
      <c r="A505">
        <v>1504</v>
      </c>
      <c r="B505">
        <v>567</v>
      </c>
      <c r="C505" t="s">
        <v>156</v>
      </c>
      <c r="D505" s="5">
        <v>45553</v>
      </c>
      <c r="E505">
        <v>5</v>
      </c>
      <c r="F505" t="s">
        <v>112</v>
      </c>
    </row>
    <row r="506" spans="1:6" x14ac:dyDescent="0.3">
      <c r="A506">
        <v>1505</v>
      </c>
      <c r="B506">
        <v>634</v>
      </c>
      <c r="C506" t="s">
        <v>10</v>
      </c>
      <c r="D506" s="5">
        <v>45397</v>
      </c>
      <c r="E506">
        <v>3</v>
      </c>
      <c r="F506" t="s">
        <v>44</v>
      </c>
    </row>
    <row r="507" spans="1:6" x14ac:dyDescent="0.3">
      <c r="A507">
        <v>1506</v>
      </c>
      <c r="B507">
        <v>668</v>
      </c>
      <c r="C507" t="s">
        <v>158</v>
      </c>
      <c r="D507" s="5">
        <v>45424</v>
      </c>
      <c r="E507">
        <v>18</v>
      </c>
      <c r="F507" t="s">
        <v>112</v>
      </c>
    </row>
    <row r="508" spans="1:6" x14ac:dyDescent="0.3">
      <c r="A508">
        <v>1507</v>
      </c>
      <c r="B508">
        <v>627</v>
      </c>
      <c r="C508" t="s">
        <v>140</v>
      </c>
      <c r="D508" s="5">
        <v>45622</v>
      </c>
      <c r="E508">
        <v>11</v>
      </c>
      <c r="F508" t="s">
        <v>41</v>
      </c>
    </row>
    <row r="509" spans="1:6" x14ac:dyDescent="0.3">
      <c r="A509">
        <v>1508</v>
      </c>
      <c r="B509">
        <v>518</v>
      </c>
      <c r="C509" t="s">
        <v>181</v>
      </c>
      <c r="D509" s="5">
        <v>45619</v>
      </c>
      <c r="E509">
        <v>14</v>
      </c>
      <c r="F509" t="s">
        <v>164</v>
      </c>
    </row>
    <row r="510" spans="1:6" x14ac:dyDescent="0.3">
      <c r="A510">
        <v>1509</v>
      </c>
      <c r="B510">
        <v>514</v>
      </c>
      <c r="C510" t="s">
        <v>142</v>
      </c>
      <c r="D510" s="5">
        <v>45573</v>
      </c>
      <c r="E510">
        <v>10</v>
      </c>
      <c r="F510" t="s">
        <v>43</v>
      </c>
    </row>
    <row r="511" spans="1:6" x14ac:dyDescent="0.3">
      <c r="A511">
        <v>1510</v>
      </c>
      <c r="B511">
        <v>593</v>
      </c>
      <c r="C511" t="s">
        <v>181</v>
      </c>
      <c r="D511" s="5">
        <v>45439</v>
      </c>
      <c r="E511">
        <v>9</v>
      </c>
      <c r="F511" t="s">
        <v>164</v>
      </c>
    </row>
    <row r="512" spans="1:6" x14ac:dyDescent="0.3">
      <c r="A512">
        <v>1511</v>
      </c>
      <c r="B512">
        <v>687</v>
      </c>
      <c r="C512" t="s">
        <v>162</v>
      </c>
      <c r="D512" s="5">
        <v>45490</v>
      </c>
      <c r="E512">
        <v>2</v>
      </c>
      <c r="F512" t="s">
        <v>164</v>
      </c>
    </row>
    <row r="513" spans="1:6" x14ac:dyDescent="0.3">
      <c r="A513">
        <v>1512</v>
      </c>
      <c r="B513">
        <v>585</v>
      </c>
      <c r="C513" t="s">
        <v>10</v>
      </c>
      <c r="D513" s="5">
        <v>45563</v>
      </c>
      <c r="E513">
        <v>3</v>
      </c>
      <c r="F513" t="s">
        <v>44</v>
      </c>
    </row>
    <row r="514" spans="1:6" x14ac:dyDescent="0.3">
      <c r="A514">
        <v>1513</v>
      </c>
      <c r="B514">
        <v>603</v>
      </c>
      <c r="C514" t="s">
        <v>142</v>
      </c>
      <c r="D514" s="5">
        <v>45359</v>
      </c>
      <c r="E514">
        <v>5</v>
      </c>
      <c r="F514" t="s">
        <v>43</v>
      </c>
    </row>
    <row r="515" spans="1:6" x14ac:dyDescent="0.3">
      <c r="A515">
        <v>1514</v>
      </c>
      <c r="B515">
        <v>517</v>
      </c>
      <c r="C515" t="s">
        <v>154</v>
      </c>
      <c r="D515" s="5">
        <v>45413</v>
      </c>
      <c r="E515">
        <v>4</v>
      </c>
      <c r="F515" t="s">
        <v>152</v>
      </c>
    </row>
    <row r="516" spans="1:6" x14ac:dyDescent="0.3">
      <c r="A516">
        <v>1515</v>
      </c>
      <c r="B516">
        <v>618</v>
      </c>
      <c r="C516" t="s">
        <v>117</v>
      </c>
      <c r="D516" s="5">
        <v>45311</v>
      </c>
      <c r="E516">
        <v>12</v>
      </c>
      <c r="F516" t="s">
        <v>119</v>
      </c>
    </row>
    <row r="517" spans="1:6" x14ac:dyDescent="0.3">
      <c r="A517">
        <v>1516</v>
      </c>
      <c r="B517">
        <v>607</v>
      </c>
      <c r="C517" t="s">
        <v>175</v>
      </c>
      <c r="D517" s="5">
        <v>45489</v>
      </c>
      <c r="E517">
        <v>15</v>
      </c>
      <c r="F517" t="s">
        <v>105</v>
      </c>
    </row>
    <row r="518" spans="1:6" x14ac:dyDescent="0.3">
      <c r="A518">
        <v>1517</v>
      </c>
      <c r="B518">
        <v>526</v>
      </c>
      <c r="C518" t="s">
        <v>140</v>
      </c>
      <c r="D518" s="5">
        <v>45616</v>
      </c>
      <c r="E518">
        <v>19</v>
      </c>
      <c r="F518" t="s">
        <v>41</v>
      </c>
    </row>
    <row r="519" spans="1:6" x14ac:dyDescent="0.3">
      <c r="A519">
        <v>1518</v>
      </c>
      <c r="B519">
        <v>692</v>
      </c>
      <c r="C519" t="s">
        <v>10</v>
      </c>
      <c r="D519" s="5">
        <v>45584</v>
      </c>
      <c r="E519">
        <v>12</v>
      </c>
      <c r="F519" t="s">
        <v>44</v>
      </c>
    </row>
    <row r="520" spans="1:6" x14ac:dyDescent="0.3">
      <c r="A520">
        <v>1519</v>
      </c>
      <c r="B520">
        <v>555</v>
      </c>
      <c r="C520" t="s">
        <v>148</v>
      </c>
      <c r="D520" s="5">
        <v>45491</v>
      </c>
      <c r="E520">
        <v>15</v>
      </c>
      <c r="F520" t="s">
        <v>105</v>
      </c>
    </row>
    <row r="521" spans="1:6" x14ac:dyDescent="0.3">
      <c r="A521">
        <v>1520</v>
      </c>
      <c r="B521">
        <v>591</v>
      </c>
      <c r="C521" t="s">
        <v>114</v>
      </c>
      <c r="D521" s="5">
        <v>45375</v>
      </c>
      <c r="E521">
        <v>7</v>
      </c>
      <c r="F521" t="s">
        <v>40</v>
      </c>
    </row>
    <row r="522" spans="1:6" x14ac:dyDescent="0.3">
      <c r="A522">
        <v>1521</v>
      </c>
      <c r="B522">
        <v>705</v>
      </c>
      <c r="C522" t="s">
        <v>72</v>
      </c>
      <c r="D522" s="5">
        <v>45340</v>
      </c>
      <c r="E522">
        <v>10</v>
      </c>
      <c r="F522" t="s">
        <v>41</v>
      </c>
    </row>
    <row r="523" spans="1:6" x14ac:dyDescent="0.3">
      <c r="A523">
        <v>1522</v>
      </c>
      <c r="B523">
        <v>674</v>
      </c>
      <c r="C523" t="s">
        <v>123</v>
      </c>
      <c r="D523" s="5">
        <v>45473</v>
      </c>
      <c r="E523">
        <v>13</v>
      </c>
      <c r="F523" t="s">
        <v>112</v>
      </c>
    </row>
    <row r="524" spans="1:6" x14ac:dyDescent="0.3">
      <c r="A524">
        <v>1523</v>
      </c>
      <c r="B524">
        <v>680</v>
      </c>
      <c r="C524" t="s">
        <v>129</v>
      </c>
      <c r="D524" s="5">
        <v>45562</v>
      </c>
      <c r="E524">
        <v>6</v>
      </c>
      <c r="F524" t="s">
        <v>131</v>
      </c>
    </row>
    <row r="525" spans="1:6" x14ac:dyDescent="0.3">
      <c r="A525">
        <v>1524</v>
      </c>
      <c r="B525">
        <v>709</v>
      </c>
      <c r="C525" t="s">
        <v>110</v>
      </c>
      <c r="D525" s="5">
        <v>45340</v>
      </c>
      <c r="E525">
        <v>7</v>
      </c>
      <c r="F525" t="s">
        <v>112</v>
      </c>
    </row>
    <row r="526" spans="1:6" x14ac:dyDescent="0.3">
      <c r="A526">
        <v>1525</v>
      </c>
      <c r="B526">
        <v>659</v>
      </c>
      <c r="C526" t="s">
        <v>175</v>
      </c>
      <c r="D526" s="5">
        <v>45460</v>
      </c>
      <c r="E526">
        <v>14</v>
      </c>
      <c r="F526" t="s">
        <v>105</v>
      </c>
    </row>
    <row r="527" spans="1:6" x14ac:dyDescent="0.3">
      <c r="A527">
        <v>1526</v>
      </c>
      <c r="B527">
        <v>652</v>
      </c>
      <c r="C527" t="s">
        <v>123</v>
      </c>
      <c r="D527" s="5">
        <v>45598</v>
      </c>
      <c r="E527">
        <v>17</v>
      </c>
      <c r="F527" t="s">
        <v>112</v>
      </c>
    </row>
    <row r="528" spans="1:6" x14ac:dyDescent="0.3">
      <c r="A528">
        <v>1527</v>
      </c>
      <c r="B528">
        <v>702</v>
      </c>
      <c r="C528" t="s">
        <v>181</v>
      </c>
      <c r="D528" s="5">
        <v>45488</v>
      </c>
      <c r="E528">
        <v>11</v>
      </c>
      <c r="F528" t="s">
        <v>164</v>
      </c>
    </row>
    <row r="529" spans="1:6" x14ac:dyDescent="0.3">
      <c r="A529">
        <v>1528</v>
      </c>
      <c r="B529">
        <v>533</v>
      </c>
      <c r="C529" t="s">
        <v>158</v>
      </c>
      <c r="D529" s="5">
        <v>45433</v>
      </c>
      <c r="E529">
        <v>2</v>
      </c>
      <c r="F529" t="s">
        <v>112</v>
      </c>
    </row>
    <row r="530" spans="1:6" x14ac:dyDescent="0.3">
      <c r="A530">
        <v>1529</v>
      </c>
      <c r="B530">
        <v>589</v>
      </c>
      <c r="C530" t="s">
        <v>11</v>
      </c>
      <c r="D530" s="5">
        <v>45364</v>
      </c>
      <c r="E530">
        <v>1</v>
      </c>
      <c r="F530" t="s">
        <v>105</v>
      </c>
    </row>
    <row r="531" spans="1:6" x14ac:dyDescent="0.3">
      <c r="A531">
        <v>1530</v>
      </c>
      <c r="B531">
        <v>632</v>
      </c>
      <c r="C531" t="s">
        <v>8</v>
      </c>
      <c r="D531" s="5">
        <v>45534</v>
      </c>
      <c r="E531">
        <v>15</v>
      </c>
      <c r="F531" t="s">
        <v>42</v>
      </c>
    </row>
    <row r="532" spans="1:6" x14ac:dyDescent="0.3">
      <c r="A532">
        <v>1531</v>
      </c>
      <c r="B532">
        <v>536</v>
      </c>
      <c r="C532" t="s">
        <v>123</v>
      </c>
      <c r="D532" s="5">
        <v>45299</v>
      </c>
      <c r="E532">
        <v>15</v>
      </c>
      <c r="F532" t="s">
        <v>112</v>
      </c>
    </row>
    <row r="533" spans="1:6" x14ac:dyDescent="0.3">
      <c r="A533">
        <v>1532</v>
      </c>
      <c r="B533">
        <v>708</v>
      </c>
      <c r="C533" t="s">
        <v>72</v>
      </c>
      <c r="D533" s="5">
        <v>45460</v>
      </c>
      <c r="E533">
        <v>16</v>
      </c>
      <c r="F533" t="s">
        <v>41</v>
      </c>
    </row>
    <row r="534" spans="1:6" x14ac:dyDescent="0.3">
      <c r="A534">
        <v>1533</v>
      </c>
      <c r="B534">
        <v>653</v>
      </c>
      <c r="C534" t="s">
        <v>7</v>
      </c>
      <c r="D534" s="5">
        <v>45434</v>
      </c>
      <c r="E534">
        <v>6</v>
      </c>
      <c r="F534" t="s">
        <v>41</v>
      </c>
    </row>
    <row r="535" spans="1:6" x14ac:dyDescent="0.3">
      <c r="A535">
        <v>1534</v>
      </c>
      <c r="B535">
        <v>620</v>
      </c>
      <c r="C535" t="s">
        <v>173</v>
      </c>
      <c r="D535" s="5">
        <v>45633</v>
      </c>
      <c r="E535">
        <v>15</v>
      </c>
      <c r="F535" t="s">
        <v>135</v>
      </c>
    </row>
    <row r="536" spans="1:6" x14ac:dyDescent="0.3">
      <c r="A536">
        <v>1535</v>
      </c>
      <c r="B536">
        <v>598</v>
      </c>
      <c r="C536" t="s">
        <v>166</v>
      </c>
      <c r="D536" s="5">
        <v>45415</v>
      </c>
      <c r="E536">
        <v>7</v>
      </c>
      <c r="F536" t="s">
        <v>40</v>
      </c>
    </row>
    <row r="537" spans="1:6" x14ac:dyDescent="0.3">
      <c r="A537">
        <v>1536</v>
      </c>
      <c r="B537">
        <v>589</v>
      </c>
      <c r="C537" t="s">
        <v>126</v>
      </c>
      <c r="D537" s="5">
        <v>45622</v>
      </c>
      <c r="E537">
        <v>4</v>
      </c>
      <c r="F537" t="s">
        <v>42</v>
      </c>
    </row>
    <row r="538" spans="1:6" x14ac:dyDescent="0.3">
      <c r="A538">
        <v>1537</v>
      </c>
      <c r="B538">
        <v>505</v>
      </c>
      <c r="C538" t="s">
        <v>137</v>
      </c>
      <c r="D538" s="5">
        <v>45604</v>
      </c>
      <c r="E538">
        <v>14</v>
      </c>
      <c r="F538" t="s">
        <v>135</v>
      </c>
    </row>
    <row r="539" spans="1:6" x14ac:dyDescent="0.3">
      <c r="A539">
        <v>1538</v>
      </c>
      <c r="B539">
        <v>623</v>
      </c>
      <c r="C539" t="s">
        <v>114</v>
      </c>
      <c r="D539" s="5">
        <v>45384</v>
      </c>
      <c r="E539">
        <v>9</v>
      </c>
      <c r="F539" t="s">
        <v>40</v>
      </c>
    </row>
    <row r="540" spans="1:6" x14ac:dyDescent="0.3">
      <c r="A540">
        <v>1539</v>
      </c>
      <c r="B540">
        <v>587</v>
      </c>
      <c r="C540" t="s">
        <v>173</v>
      </c>
      <c r="D540" s="5">
        <v>45499</v>
      </c>
      <c r="E540">
        <v>19</v>
      </c>
      <c r="F540" t="s">
        <v>135</v>
      </c>
    </row>
    <row r="541" spans="1:6" x14ac:dyDescent="0.3">
      <c r="A541">
        <v>1540</v>
      </c>
      <c r="B541">
        <v>524</v>
      </c>
      <c r="C541" t="s">
        <v>148</v>
      </c>
      <c r="D541" s="5">
        <v>45450</v>
      </c>
      <c r="E541">
        <v>3</v>
      </c>
      <c r="F541" t="s">
        <v>105</v>
      </c>
    </row>
    <row r="542" spans="1:6" x14ac:dyDescent="0.3">
      <c r="A542">
        <v>1541</v>
      </c>
      <c r="B542">
        <v>694</v>
      </c>
      <c r="C542" t="s">
        <v>184</v>
      </c>
      <c r="D542" s="5">
        <v>45454</v>
      </c>
      <c r="E542">
        <v>17</v>
      </c>
      <c r="F542" t="s">
        <v>131</v>
      </c>
    </row>
    <row r="543" spans="1:6" x14ac:dyDescent="0.3">
      <c r="A543">
        <v>1542</v>
      </c>
      <c r="B543">
        <v>660</v>
      </c>
      <c r="C543" t="s">
        <v>10</v>
      </c>
      <c r="D543" s="5">
        <v>45428</v>
      </c>
      <c r="E543">
        <v>13</v>
      </c>
      <c r="F543" t="s">
        <v>44</v>
      </c>
    </row>
    <row r="544" spans="1:6" x14ac:dyDescent="0.3">
      <c r="A544">
        <v>1543</v>
      </c>
      <c r="B544">
        <v>551</v>
      </c>
      <c r="C544" t="s">
        <v>162</v>
      </c>
      <c r="D544" s="5">
        <v>45640</v>
      </c>
      <c r="E544">
        <v>10</v>
      </c>
      <c r="F544" t="s">
        <v>164</v>
      </c>
    </row>
    <row r="545" spans="1:6" x14ac:dyDescent="0.3">
      <c r="A545">
        <v>1544</v>
      </c>
      <c r="B545">
        <v>509</v>
      </c>
      <c r="C545" t="s">
        <v>126</v>
      </c>
      <c r="D545" s="5">
        <v>45426</v>
      </c>
      <c r="E545">
        <v>10</v>
      </c>
      <c r="F545" t="s">
        <v>42</v>
      </c>
    </row>
    <row r="546" spans="1:6" x14ac:dyDescent="0.3">
      <c r="A546">
        <v>1545</v>
      </c>
      <c r="B546">
        <v>690</v>
      </c>
      <c r="C546" t="s">
        <v>6</v>
      </c>
      <c r="D546" s="5">
        <v>45571</v>
      </c>
      <c r="E546">
        <v>14</v>
      </c>
      <c r="F546" t="s">
        <v>40</v>
      </c>
    </row>
    <row r="547" spans="1:6" x14ac:dyDescent="0.3">
      <c r="A547">
        <v>1546</v>
      </c>
      <c r="B547">
        <v>509</v>
      </c>
      <c r="C547" t="s">
        <v>9</v>
      </c>
      <c r="D547" s="5">
        <v>45390</v>
      </c>
      <c r="E547">
        <v>14</v>
      </c>
      <c r="F547" t="s">
        <v>43</v>
      </c>
    </row>
    <row r="548" spans="1:6" x14ac:dyDescent="0.3">
      <c r="A548">
        <v>1547</v>
      </c>
      <c r="B548">
        <v>749</v>
      </c>
      <c r="C548" t="s">
        <v>129</v>
      </c>
      <c r="D548" s="5">
        <v>45417</v>
      </c>
      <c r="E548">
        <v>13</v>
      </c>
      <c r="F548" t="s">
        <v>131</v>
      </c>
    </row>
    <row r="549" spans="1:6" x14ac:dyDescent="0.3">
      <c r="A549">
        <v>1548</v>
      </c>
      <c r="B549">
        <v>669</v>
      </c>
      <c r="C549" t="s">
        <v>72</v>
      </c>
      <c r="D549" s="5">
        <v>45584</v>
      </c>
      <c r="E549">
        <v>11</v>
      </c>
      <c r="F549" t="s">
        <v>41</v>
      </c>
    </row>
    <row r="550" spans="1:6" x14ac:dyDescent="0.3">
      <c r="A550">
        <v>1549</v>
      </c>
      <c r="B550">
        <v>730</v>
      </c>
      <c r="C550" t="s">
        <v>72</v>
      </c>
      <c r="D550" s="5">
        <v>45463</v>
      </c>
      <c r="E550">
        <v>10</v>
      </c>
      <c r="F550" t="s">
        <v>41</v>
      </c>
    </row>
    <row r="551" spans="1:6" x14ac:dyDescent="0.3">
      <c r="A551">
        <v>1550</v>
      </c>
      <c r="B551">
        <v>589</v>
      </c>
      <c r="C551" t="s">
        <v>140</v>
      </c>
      <c r="D551" s="5">
        <v>45589</v>
      </c>
      <c r="E551">
        <v>17</v>
      </c>
      <c r="F551" t="s">
        <v>41</v>
      </c>
    </row>
    <row r="552" spans="1:6" x14ac:dyDescent="0.3">
      <c r="A552">
        <v>1551</v>
      </c>
      <c r="B552">
        <v>507</v>
      </c>
      <c r="C552" t="s">
        <v>123</v>
      </c>
      <c r="D552" s="5">
        <v>45469</v>
      </c>
      <c r="E552">
        <v>15</v>
      </c>
      <c r="F552" t="s">
        <v>112</v>
      </c>
    </row>
    <row r="553" spans="1:6" x14ac:dyDescent="0.3">
      <c r="A553">
        <v>1552</v>
      </c>
      <c r="B553">
        <v>581</v>
      </c>
      <c r="C553" t="s">
        <v>8</v>
      </c>
      <c r="D553" s="5">
        <v>45304</v>
      </c>
      <c r="E553">
        <v>10</v>
      </c>
      <c r="F553" t="s">
        <v>42</v>
      </c>
    </row>
    <row r="554" spans="1:6" x14ac:dyDescent="0.3">
      <c r="A554">
        <v>1553</v>
      </c>
      <c r="B554">
        <v>569</v>
      </c>
      <c r="C554" t="s">
        <v>123</v>
      </c>
      <c r="D554" s="5">
        <v>45584</v>
      </c>
      <c r="E554">
        <v>20</v>
      </c>
      <c r="F554" t="s">
        <v>112</v>
      </c>
    </row>
    <row r="555" spans="1:6" x14ac:dyDescent="0.3">
      <c r="A555">
        <v>1554</v>
      </c>
      <c r="B555">
        <v>567</v>
      </c>
      <c r="C555" t="s">
        <v>126</v>
      </c>
      <c r="D555" s="5">
        <v>45543</v>
      </c>
      <c r="E555">
        <v>13</v>
      </c>
      <c r="F555" t="s">
        <v>42</v>
      </c>
    </row>
    <row r="556" spans="1:6" x14ac:dyDescent="0.3">
      <c r="A556">
        <v>1555</v>
      </c>
      <c r="B556">
        <v>589</v>
      </c>
      <c r="C556" t="s">
        <v>142</v>
      </c>
      <c r="D556" s="5">
        <v>45436</v>
      </c>
      <c r="E556">
        <v>1</v>
      </c>
      <c r="F556" t="s">
        <v>43</v>
      </c>
    </row>
    <row r="557" spans="1:6" x14ac:dyDescent="0.3">
      <c r="A557">
        <v>1556</v>
      </c>
      <c r="B557">
        <v>637</v>
      </c>
      <c r="C557" t="s">
        <v>158</v>
      </c>
      <c r="D557" s="5">
        <v>45469</v>
      </c>
      <c r="E557">
        <v>2</v>
      </c>
      <c r="F557" t="s">
        <v>112</v>
      </c>
    </row>
    <row r="558" spans="1:6" x14ac:dyDescent="0.3">
      <c r="A558">
        <v>1557</v>
      </c>
      <c r="B558">
        <v>564</v>
      </c>
      <c r="C558" t="s">
        <v>173</v>
      </c>
      <c r="D558" s="5">
        <v>45607</v>
      </c>
      <c r="E558">
        <v>17</v>
      </c>
      <c r="F558" t="s">
        <v>135</v>
      </c>
    </row>
    <row r="559" spans="1:6" x14ac:dyDescent="0.3">
      <c r="A559">
        <v>1558</v>
      </c>
      <c r="B559">
        <v>577</v>
      </c>
      <c r="C559" t="s">
        <v>8</v>
      </c>
      <c r="D559" s="5">
        <v>45305</v>
      </c>
      <c r="E559">
        <v>13</v>
      </c>
      <c r="F559" t="s">
        <v>42</v>
      </c>
    </row>
    <row r="560" spans="1:6" x14ac:dyDescent="0.3">
      <c r="A560">
        <v>1559</v>
      </c>
      <c r="B560">
        <v>672</v>
      </c>
      <c r="C560" t="s">
        <v>154</v>
      </c>
      <c r="D560" s="5">
        <v>45407</v>
      </c>
      <c r="E560">
        <v>16</v>
      </c>
      <c r="F560" t="s">
        <v>152</v>
      </c>
    </row>
    <row r="561" spans="1:6" x14ac:dyDescent="0.3">
      <c r="A561">
        <v>1560</v>
      </c>
      <c r="B561">
        <v>636</v>
      </c>
      <c r="C561" t="s">
        <v>123</v>
      </c>
      <c r="D561" s="5">
        <v>45571</v>
      </c>
      <c r="E561">
        <v>14</v>
      </c>
      <c r="F561" t="s">
        <v>112</v>
      </c>
    </row>
    <row r="562" spans="1:6" x14ac:dyDescent="0.3">
      <c r="A562">
        <v>1561</v>
      </c>
      <c r="B562">
        <v>527</v>
      </c>
      <c r="C562" t="s">
        <v>160</v>
      </c>
      <c r="D562" s="5">
        <v>45623</v>
      </c>
      <c r="E562">
        <v>5</v>
      </c>
      <c r="F562" t="s">
        <v>41</v>
      </c>
    </row>
    <row r="563" spans="1:6" x14ac:dyDescent="0.3">
      <c r="A563">
        <v>1562</v>
      </c>
      <c r="B563">
        <v>560</v>
      </c>
      <c r="C563" t="s">
        <v>150</v>
      </c>
      <c r="D563" s="5">
        <v>45442</v>
      </c>
      <c r="E563">
        <v>13</v>
      </c>
      <c r="F563" t="s">
        <v>152</v>
      </c>
    </row>
    <row r="564" spans="1:6" x14ac:dyDescent="0.3">
      <c r="A564">
        <v>1563</v>
      </c>
      <c r="B564">
        <v>734</v>
      </c>
      <c r="C564" t="s">
        <v>121</v>
      </c>
      <c r="D564" s="5">
        <v>45531</v>
      </c>
      <c r="E564">
        <v>18</v>
      </c>
      <c r="F564" t="s">
        <v>105</v>
      </c>
    </row>
    <row r="565" spans="1:6" x14ac:dyDescent="0.3">
      <c r="A565">
        <v>1564</v>
      </c>
      <c r="B565">
        <v>744</v>
      </c>
      <c r="C565" t="s">
        <v>166</v>
      </c>
      <c r="D565" s="5">
        <v>45651</v>
      </c>
      <c r="E565">
        <v>16</v>
      </c>
      <c r="F565" t="s">
        <v>40</v>
      </c>
    </row>
    <row r="566" spans="1:6" x14ac:dyDescent="0.3">
      <c r="A566">
        <v>1565</v>
      </c>
      <c r="B566">
        <v>610</v>
      </c>
      <c r="C566" t="s">
        <v>173</v>
      </c>
      <c r="D566" s="5">
        <v>45569</v>
      </c>
      <c r="E566">
        <v>19</v>
      </c>
      <c r="F566" t="s">
        <v>135</v>
      </c>
    </row>
    <row r="567" spans="1:6" x14ac:dyDescent="0.3">
      <c r="A567">
        <v>1566</v>
      </c>
      <c r="B567">
        <v>661</v>
      </c>
      <c r="C567" t="s">
        <v>11</v>
      </c>
      <c r="D567" s="5">
        <v>45602</v>
      </c>
      <c r="E567">
        <v>1</v>
      </c>
      <c r="F567" t="s">
        <v>105</v>
      </c>
    </row>
    <row r="568" spans="1:6" x14ac:dyDescent="0.3">
      <c r="A568">
        <v>1567</v>
      </c>
      <c r="B568">
        <v>633</v>
      </c>
      <c r="C568" t="s">
        <v>158</v>
      </c>
      <c r="D568" s="5">
        <v>45379</v>
      </c>
      <c r="E568">
        <v>11</v>
      </c>
      <c r="F568" t="s">
        <v>112</v>
      </c>
    </row>
    <row r="569" spans="1:6" x14ac:dyDescent="0.3">
      <c r="A569">
        <v>1568</v>
      </c>
      <c r="B569">
        <v>677</v>
      </c>
      <c r="C569" t="s">
        <v>137</v>
      </c>
      <c r="D569" s="5">
        <v>45574</v>
      </c>
      <c r="E569">
        <v>1</v>
      </c>
      <c r="F569" t="s">
        <v>135</v>
      </c>
    </row>
    <row r="570" spans="1:6" x14ac:dyDescent="0.3">
      <c r="A570">
        <v>1569</v>
      </c>
      <c r="B570">
        <v>550</v>
      </c>
      <c r="C570" t="s">
        <v>7</v>
      </c>
      <c r="D570" s="5">
        <v>45473</v>
      </c>
      <c r="E570">
        <v>9</v>
      </c>
      <c r="F570" t="s">
        <v>41</v>
      </c>
    </row>
    <row r="571" spans="1:6" x14ac:dyDescent="0.3">
      <c r="A571">
        <v>1570</v>
      </c>
      <c r="B571">
        <v>689</v>
      </c>
      <c r="C571" t="s">
        <v>126</v>
      </c>
      <c r="D571" s="5">
        <v>45334</v>
      </c>
      <c r="E571">
        <v>5</v>
      </c>
      <c r="F571" t="s">
        <v>42</v>
      </c>
    </row>
    <row r="572" spans="1:6" x14ac:dyDescent="0.3">
      <c r="A572">
        <v>1571</v>
      </c>
      <c r="B572">
        <v>682</v>
      </c>
      <c r="C572" t="s">
        <v>114</v>
      </c>
      <c r="D572" s="5">
        <v>45445</v>
      </c>
      <c r="E572">
        <v>14</v>
      </c>
      <c r="F572" t="s">
        <v>40</v>
      </c>
    </row>
    <row r="573" spans="1:6" x14ac:dyDescent="0.3">
      <c r="A573">
        <v>1572</v>
      </c>
      <c r="B573">
        <v>657</v>
      </c>
      <c r="C573" t="s">
        <v>178</v>
      </c>
      <c r="D573" s="5">
        <v>45625</v>
      </c>
      <c r="E573">
        <v>18</v>
      </c>
      <c r="F573" t="s">
        <v>105</v>
      </c>
    </row>
    <row r="574" spans="1:6" x14ac:dyDescent="0.3">
      <c r="A574">
        <v>1573</v>
      </c>
      <c r="B574">
        <v>711</v>
      </c>
      <c r="C574" t="s">
        <v>114</v>
      </c>
      <c r="D574" s="5">
        <v>45334</v>
      </c>
      <c r="E574">
        <v>16</v>
      </c>
      <c r="F574" t="s">
        <v>40</v>
      </c>
    </row>
    <row r="575" spans="1:6" x14ac:dyDescent="0.3">
      <c r="A575">
        <v>1574</v>
      </c>
      <c r="B575">
        <v>555</v>
      </c>
      <c r="C575" t="s">
        <v>6</v>
      </c>
      <c r="D575" s="5">
        <v>45486</v>
      </c>
      <c r="E575">
        <v>3</v>
      </c>
      <c r="F575" t="s">
        <v>40</v>
      </c>
    </row>
    <row r="576" spans="1:6" x14ac:dyDescent="0.3">
      <c r="A576">
        <v>1575</v>
      </c>
      <c r="B576">
        <v>663</v>
      </c>
      <c r="C576" t="s">
        <v>114</v>
      </c>
      <c r="D576" s="5">
        <v>45422</v>
      </c>
      <c r="E576">
        <v>9</v>
      </c>
      <c r="F576" t="s">
        <v>40</v>
      </c>
    </row>
    <row r="577" spans="1:6" x14ac:dyDescent="0.3">
      <c r="A577">
        <v>1576</v>
      </c>
      <c r="B577">
        <v>527</v>
      </c>
      <c r="C577" t="s">
        <v>123</v>
      </c>
      <c r="D577" s="5">
        <v>45506</v>
      </c>
      <c r="E577">
        <v>11</v>
      </c>
      <c r="F577" t="s">
        <v>112</v>
      </c>
    </row>
    <row r="578" spans="1:6" x14ac:dyDescent="0.3">
      <c r="A578">
        <v>1577</v>
      </c>
      <c r="B578">
        <v>694</v>
      </c>
      <c r="C578" t="s">
        <v>117</v>
      </c>
      <c r="D578" s="5">
        <v>45491</v>
      </c>
      <c r="E578">
        <v>15</v>
      </c>
      <c r="F578" t="s">
        <v>119</v>
      </c>
    </row>
    <row r="579" spans="1:6" x14ac:dyDescent="0.3">
      <c r="A579">
        <v>1578</v>
      </c>
      <c r="B579">
        <v>671</v>
      </c>
      <c r="C579" t="s">
        <v>160</v>
      </c>
      <c r="D579" s="5">
        <v>45630</v>
      </c>
      <c r="E579">
        <v>8</v>
      </c>
      <c r="F579" t="s">
        <v>41</v>
      </c>
    </row>
    <row r="580" spans="1:6" x14ac:dyDescent="0.3">
      <c r="A580">
        <v>1579</v>
      </c>
      <c r="B580">
        <v>683</v>
      </c>
      <c r="C580" t="s">
        <v>8</v>
      </c>
      <c r="D580" s="5">
        <v>45412</v>
      </c>
      <c r="E580">
        <v>20</v>
      </c>
      <c r="F580" t="s">
        <v>42</v>
      </c>
    </row>
    <row r="581" spans="1:6" x14ac:dyDescent="0.3">
      <c r="A581">
        <v>1580</v>
      </c>
      <c r="B581">
        <v>728</v>
      </c>
      <c r="C581" t="s">
        <v>11</v>
      </c>
      <c r="D581" s="5">
        <v>45468</v>
      </c>
      <c r="E581">
        <v>7</v>
      </c>
      <c r="F581" t="s">
        <v>105</v>
      </c>
    </row>
    <row r="582" spans="1:6" x14ac:dyDescent="0.3">
      <c r="A582">
        <v>1581</v>
      </c>
      <c r="B582">
        <v>504</v>
      </c>
      <c r="C582" t="s">
        <v>145</v>
      </c>
      <c r="D582" s="5">
        <v>45384</v>
      </c>
      <c r="E582">
        <v>18</v>
      </c>
      <c r="F582" t="s">
        <v>135</v>
      </c>
    </row>
    <row r="583" spans="1:6" x14ac:dyDescent="0.3">
      <c r="A583">
        <v>1582</v>
      </c>
      <c r="B583">
        <v>537</v>
      </c>
      <c r="C583" t="s">
        <v>169</v>
      </c>
      <c r="D583" s="5">
        <v>45558</v>
      </c>
      <c r="E583">
        <v>7</v>
      </c>
      <c r="F583" t="s">
        <v>171</v>
      </c>
    </row>
    <row r="584" spans="1:6" x14ac:dyDescent="0.3">
      <c r="A584">
        <v>1583</v>
      </c>
      <c r="B584">
        <v>656</v>
      </c>
      <c r="C584" t="s">
        <v>10</v>
      </c>
      <c r="D584" s="5">
        <v>45644</v>
      </c>
      <c r="E584">
        <v>15</v>
      </c>
      <c r="F584" t="s">
        <v>44</v>
      </c>
    </row>
    <row r="585" spans="1:6" x14ac:dyDescent="0.3">
      <c r="A585">
        <v>1584</v>
      </c>
      <c r="B585">
        <v>640</v>
      </c>
      <c r="C585" t="s">
        <v>160</v>
      </c>
      <c r="D585" s="5">
        <v>45363</v>
      </c>
      <c r="E585">
        <v>4</v>
      </c>
      <c r="F585" t="s">
        <v>41</v>
      </c>
    </row>
    <row r="586" spans="1:6" x14ac:dyDescent="0.3">
      <c r="A586">
        <v>1585</v>
      </c>
      <c r="B586">
        <v>514</v>
      </c>
      <c r="C586" t="s">
        <v>173</v>
      </c>
      <c r="D586" s="5">
        <v>45557</v>
      </c>
      <c r="E586">
        <v>13</v>
      </c>
      <c r="F586" t="s">
        <v>135</v>
      </c>
    </row>
    <row r="587" spans="1:6" x14ac:dyDescent="0.3">
      <c r="A587">
        <v>1586</v>
      </c>
      <c r="B587">
        <v>503</v>
      </c>
      <c r="C587" t="s">
        <v>166</v>
      </c>
      <c r="D587" s="5">
        <v>45494</v>
      </c>
      <c r="E587">
        <v>16</v>
      </c>
      <c r="F587" t="s">
        <v>40</v>
      </c>
    </row>
    <row r="588" spans="1:6" x14ac:dyDescent="0.3">
      <c r="A588">
        <v>1587</v>
      </c>
      <c r="B588">
        <v>669</v>
      </c>
      <c r="C588" t="s">
        <v>123</v>
      </c>
      <c r="D588" s="5">
        <v>45647</v>
      </c>
      <c r="E588">
        <v>9</v>
      </c>
      <c r="F588" t="s">
        <v>112</v>
      </c>
    </row>
    <row r="589" spans="1:6" x14ac:dyDescent="0.3">
      <c r="A589">
        <v>1588</v>
      </c>
      <c r="B589">
        <v>552</v>
      </c>
      <c r="C589" t="s">
        <v>169</v>
      </c>
      <c r="D589" s="5">
        <v>45432</v>
      </c>
      <c r="E589">
        <v>20</v>
      </c>
      <c r="F589" t="s">
        <v>171</v>
      </c>
    </row>
    <row r="590" spans="1:6" x14ac:dyDescent="0.3">
      <c r="A590">
        <v>1589</v>
      </c>
      <c r="B590">
        <v>702</v>
      </c>
      <c r="C590" t="s">
        <v>160</v>
      </c>
      <c r="D590" s="5">
        <v>45381</v>
      </c>
      <c r="E590">
        <v>15</v>
      </c>
      <c r="F590" t="s">
        <v>41</v>
      </c>
    </row>
    <row r="591" spans="1:6" x14ac:dyDescent="0.3">
      <c r="A591">
        <v>1590</v>
      </c>
      <c r="B591">
        <v>679</v>
      </c>
      <c r="C591" t="s">
        <v>137</v>
      </c>
      <c r="D591" s="5">
        <v>45396</v>
      </c>
      <c r="E591">
        <v>7</v>
      </c>
      <c r="F591" t="s">
        <v>135</v>
      </c>
    </row>
    <row r="592" spans="1:6" x14ac:dyDescent="0.3">
      <c r="A592">
        <v>1591</v>
      </c>
      <c r="B592">
        <v>601</v>
      </c>
      <c r="C592" t="s">
        <v>110</v>
      </c>
      <c r="D592" s="5">
        <v>45320</v>
      </c>
      <c r="E592">
        <v>2</v>
      </c>
      <c r="F592" t="s">
        <v>112</v>
      </c>
    </row>
    <row r="593" spans="1:6" x14ac:dyDescent="0.3">
      <c r="A593">
        <v>1592</v>
      </c>
      <c r="B593">
        <v>592</v>
      </c>
      <c r="C593" t="s">
        <v>156</v>
      </c>
      <c r="D593" s="5">
        <v>45345</v>
      </c>
      <c r="E593">
        <v>19</v>
      </c>
      <c r="F593" t="s">
        <v>112</v>
      </c>
    </row>
    <row r="594" spans="1:6" x14ac:dyDescent="0.3">
      <c r="A594">
        <v>1593</v>
      </c>
      <c r="B594">
        <v>548</v>
      </c>
      <c r="C594" t="s">
        <v>9</v>
      </c>
      <c r="D594" s="5">
        <v>45467</v>
      </c>
      <c r="E594">
        <v>1</v>
      </c>
      <c r="F594" t="s">
        <v>43</v>
      </c>
    </row>
    <row r="595" spans="1:6" x14ac:dyDescent="0.3">
      <c r="A595">
        <v>1594</v>
      </c>
      <c r="B595">
        <v>743</v>
      </c>
      <c r="C595" t="s">
        <v>121</v>
      </c>
      <c r="D595" s="5">
        <v>45589</v>
      </c>
      <c r="E595">
        <v>6</v>
      </c>
      <c r="F595" t="s">
        <v>105</v>
      </c>
    </row>
    <row r="596" spans="1:6" x14ac:dyDescent="0.3">
      <c r="A596">
        <v>1595</v>
      </c>
      <c r="B596">
        <v>603</v>
      </c>
      <c r="C596" t="s">
        <v>140</v>
      </c>
      <c r="D596" s="5">
        <v>45656</v>
      </c>
      <c r="E596">
        <v>19</v>
      </c>
      <c r="F596" t="s">
        <v>41</v>
      </c>
    </row>
    <row r="597" spans="1:6" x14ac:dyDescent="0.3">
      <c r="A597">
        <v>1596</v>
      </c>
      <c r="B597">
        <v>665</v>
      </c>
      <c r="C597" t="s">
        <v>10</v>
      </c>
      <c r="D597" s="5">
        <v>45371</v>
      </c>
      <c r="E597">
        <v>7</v>
      </c>
      <c r="F597" t="s">
        <v>44</v>
      </c>
    </row>
    <row r="598" spans="1:6" x14ac:dyDescent="0.3">
      <c r="A598">
        <v>1597</v>
      </c>
      <c r="B598">
        <v>654</v>
      </c>
      <c r="C598" t="s">
        <v>114</v>
      </c>
      <c r="D598" s="5">
        <v>45399</v>
      </c>
      <c r="E598">
        <v>20</v>
      </c>
      <c r="F598" t="s">
        <v>40</v>
      </c>
    </row>
    <row r="599" spans="1:6" x14ac:dyDescent="0.3">
      <c r="A599">
        <v>1598</v>
      </c>
      <c r="B599">
        <v>623</v>
      </c>
      <c r="C599" t="s">
        <v>117</v>
      </c>
      <c r="D599" s="5">
        <v>45644</v>
      </c>
      <c r="E599">
        <v>18</v>
      </c>
      <c r="F599" t="s">
        <v>119</v>
      </c>
    </row>
    <row r="600" spans="1:6" x14ac:dyDescent="0.3">
      <c r="A600">
        <v>1599</v>
      </c>
      <c r="B600">
        <v>517</v>
      </c>
      <c r="C600" t="s">
        <v>117</v>
      </c>
      <c r="D600" s="5">
        <v>45358</v>
      </c>
      <c r="E600">
        <v>9</v>
      </c>
      <c r="F600" t="s">
        <v>119</v>
      </c>
    </row>
    <row r="601" spans="1:6" x14ac:dyDescent="0.3">
      <c r="A601">
        <v>1600</v>
      </c>
      <c r="B601">
        <v>742</v>
      </c>
      <c r="C601" t="s">
        <v>129</v>
      </c>
      <c r="D601" s="5">
        <v>45585</v>
      </c>
      <c r="E601">
        <v>10</v>
      </c>
      <c r="F601" t="s">
        <v>131</v>
      </c>
    </row>
    <row r="602" spans="1:6" x14ac:dyDescent="0.3">
      <c r="A602">
        <v>1601</v>
      </c>
      <c r="B602">
        <v>706</v>
      </c>
      <c r="C602" t="s">
        <v>114</v>
      </c>
      <c r="D602" s="5">
        <v>45477</v>
      </c>
      <c r="E602">
        <v>20</v>
      </c>
      <c r="F602" t="s">
        <v>40</v>
      </c>
    </row>
    <row r="603" spans="1:6" x14ac:dyDescent="0.3">
      <c r="A603">
        <v>1602</v>
      </c>
      <c r="B603">
        <v>699</v>
      </c>
      <c r="C603" t="s">
        <v>181</v>
      </c>
      <c r="D603" s="5">
        <v>45539</v>
      </c>
      <c r="E603">
        <v>4</v>
      </c>
      <c r="F603" t="s">
        <v>164</v>
      </c>
    </row>
    <row r="604" spans="1:6" x14ac:dyDescent="0.3">
      <c r="A604">
        <v>1603</v>
      </c>
      <c r="B604">
        <v>545</v>
      </c>
      <c r="C604" t="s">
        <v>160</v>
      </c>
      <c r="D604" s="5">
        <v>45598</v>
      </c>
      <c r="E604">
        <v>10</v>
      </c>
      <c r="F604" t="s">
        <v>41</v>
      </c>
    </row>
    <row r="605" spans="1:6" x14ac:dyDescent="0.3">
      <c r="A605">
        <v>1604</v>
      </c>
      <c r="B605">
        <v>639</v>
      </c>
      <c r="C605" t="s">
        <v>114</v>
      </c>
      <c r="D605" s="5">
        <v>45527</v>
      </c>
      <c r="E605">
        <v>3</v>
      </c>
      <c r="F605" t="s">
        <v>40</v>
      </c>
    </row>
    <row r="606" spans="1:6" x14ac:dyDescent="0.3">
      <c r="A606">
        <v>1605</v>
      </c>
      <c r="B606">
        <v>535</v>
      </c>
      <c r="C606" t="s">
        <v>8</v>
      </c>
      <c r="D606" s="5">
        <v>45490</v>
      </c>
      <c r="E606">
        <v>11</v>
      </c>
      <c r="F606" t="s">
        <v>42</v>
      </c>
    </row>
    <row r="607" spans="1:6" x14ac:dyDescent="0.3">
      <c r="A607">
        <v>1606</v>
      </c>
      <c r="B607">
        <v>677</v>
      </c>
      <c r="C607" t="s">
        <v>169</v>
      </c>
      <c r="D607" s="5">
        <v>45295</v>
      </c>
      <c r="E607">
        <v>20</v>
      </c>
      <c r="F607" t="s">
        <v>171</v>
      </c>
    </row>
    <row r="608" spans="1:6" x14ac:dyDescent="0.3">
      <c r="A608">
        <v>1607</v>
      </c>
      <c r="B608">
        <v>732</v>
      </c>
      <c r="C608" t="s">
        <v>148</v>
      </c>
      <c r="D608" s="5">
        <v>45410</v>
      </c>
      <c r="E608">
        <v>11</v>
      </c>
      <c r="F608" t="s">
        <v>105</v>
      </c>
    </row>
    <row r="609" spans="1:6" x14ac:dyDescent="0.3">
      <c r="A609">
        <v>1608</v>
      </c>
      <c r="B609">
        <v>524</v>
      </c>
      <c r="C609" t="s">
        <v>158</v>
      </c>
      <c r="D609" s="5">
        <v>45371</v>
      </c>
      <c r="E609">
        <v>12</v>
      </c>
      <c r="F609" t="s">
        <v>112</v>
      </c>
    </row>
    <row r="610" spans="1:6" x14ac:dyDescent="0.3">
      <c r="A610">
        <v>1609</v>
      </c>
      <c r="B610">
        <v>653</v>
      </c>
      <c r="C610" t="s">
        <v>158</v>
      </c>
      <c r="D610" s="5">
        <v>45470</v>
      </c>
      <c r="E610">
        <v>8</v>
      </c>
      <c r="F610" t="s">
        <v>112</v>
      </c>
    </row>
    <row r="611" spans="1:6" x14ac:dyDescent="0.3">
      <c r="A611">
        <v>1610</v>
      </c>
      <c r="B611">
        <v>747</v>
      </c>
      <c r="C611" t="s">
        <v>117</v>
      </c>
      <c r="D611" s="5">
        <v>45645</v>
      </c>
      <c r="E611">
        <v>16</v>
      </c>
      <c r="F611" t="s">
        <v>119</v>
      </c>
    </row>
    <row r="612" spans="1:6" x14ac:dyDescent="0.3">
      <c r="A612">
        <v>1611</v>
      </c>
      <c r="B612">
        <v>571</v>
      </c>
      <c r="C612" t="s">
        <v>11</v>
      </c>
      <c r="D612" s="5">
        <v>45633</v>
      </c>
      <c r="E612">
        <v>16</v>
      </c>
      <c r="F612" t="s">
        <v>105</v>
      </c>
    </row>
    <row r="613" spans="1:6" x14ac:dyDescent="0.3">
      <c r="A613">
        <v>1612</v>
      </c>
      <c r="B613">
        <v>663</v>
      </c>
      <c r="C613" t="s">
        <v>110</v>
      </c>
      <c r="D613" s="5">
        <v>45482</v>
      </c>
      <c r="E613">
        <v>19</v>
      </c>
      <c r="F613" t="s">
        <v>112</v>
      </c>
    </row>
    <row r="614" spans="1:6" x14ac:dyDescent="0.3">
      <c r="A614">
        <v>1613</v>
      </c>
      <c r="B614">
        <v>729</v>
      </c>
      <c r="C614" t="s">
        <v>8</v>
      </c>
      <c r="D614" s="5">
        <v>45300</v>
      </c>
      <c r="E614">
        <v>11</v>
      </c>
      <c r="F614" t="s">
        <v>42</v>
      </c>
    </row>
    <row r="615" spans="1:6" x14ac:dyDescent="0.3">
      <c r="A615">
        <v>1614</v>
      </c>
      <c r="B615">
        <v>701</v>
      </c>
      <c r="C615" t="s">
        <v>7</v>
      </c>
      <c r="D615" s="5">
        <v>45523</v>
      </c>
      <c r="E615">
        <v>3</v>
      </c>
      <c r="F615" t="s">
        <v>41</v>
      </c>
    </row>
    <row r="616" spans="1:6" x14ac:dyDescent="0.3">
      <c r="A616">
        <v>1615</v>
      </c>
      <c r="B616">
        <v>530</v>
      </c>
      <c r="C616" t="s">
        <v>154</v>
      </c>
      <c r="D616" s="5">
        <v>45358</v>
      </c>
      <c r="E616">
        <v>1</v>
      </c>
      <c r="F616" t="s">
        <v>152</v>
      </c>
    </row>
    <row r="617" spans="1:6" x14ac:dyDescent="0.3">
      <c r="A617">
        <v>1616</v>
      </c>
      <c r="B617">
        <v>600</v>
      </c>
      <c r="C617" t="s">
        <v>156</v>
      </c>
      <c r="D617" s="5">
        <v>45597</v>
      </c>
      <c r="E617">
        <v>14</v>
      </c>
      <c r="F617" t="s">
        <v>112</v>
      </c>
    </row>
    <row r="618" spans="1:6" x14ac:dyDescent="0.3">
      <c r="A618">
        <v>1617</v>
      </c>
      <c r="B618">
        <v>662</v>
      </c>
      <c r="C618" t="s">
        <v>110</v>
      </c>
      <c r="D618" s="5">
        <v>45436</v>
      </c>
      <c r="E618">
        <v>17</v>
      </c>
      <c r="F618" t="s">
        <v>112</v>
      </c>
    </row>
    <row r="619" spans="1:6" x14ac:dyDescent="0.3">
      <c r="A619">
        <v>1618</v>
      </c>
      <c r="B619">
        <v>623</v>
      </c>
      <c r="C619" t="s">
        <v>175</v>
      </c>
      <c r="D619" s="5">
        <v>45566</v>
      </c>
      <c r="E619">
        <v>8</v>
      </c>
      <c r="F619" t="s">
        <v>105</v>
      </c>
    </row>
    <row r="620" spans="1:6" x14ac:dyDescent="0.3">
      <c r="A620">
        <v>1619</v>
      </c>
      <c r="B620">
        <v>637</v>
      </c>
      <c r="C620" t="s">
        <v>160</v>
      </c>
      <c r="D620" s="5">
        <v>45574</v>
      </c>
      <c r="E620">
        <v>16</v>
      </c>
      <c r="F620" t="s">
        <v>41</v>
      </c>
    </row>
    <row r="621" spans="1:6" x14ac:dyDescent="0.3">
      <c r="A621">
        <v>1620</v>
      </c>
      <c r="B621">
        <v>714</v>
      </c>
      <c r="C621" t="s">
        <v>133</v>
      </c>
      <c r="D621" s="5">
        <v>45362</v>
      </c>
      <c r="E621">
        <v>8</v>
      </c>
      <c r="F621" t="s">
        <v>135</v>
      </c>
    </row>
    <row r="622" spans="1:6" x14ac:dyDescent="0.3">
      <c r="A622">
        <v>1621</v>
      </c>
      <c r="B622">
        <v>747</v>
      </c>
      <c r="C622" t="s">
        <v>140</v>
      </c>
      <c r="D622" s="5">
        <v>45414</v>
      </c>
      <c r="E622">
        <v>11</v>
      </c>
      <c r="F622" t="s">
        <v>41</v>
      </c>
    </row>
    <row r="623" spans="1:6" x14ac:dyDescent="0.3">
      <c r="A623">
        <v>1622</v>
      </c>
      <c r="B623">
        <v>544</v>
      </c>
      <c r="C623" t="s">
        <v>7</v>
      </c>
      <c r="D623" s="5">
        <v>45423</v>
      </c>
      <c r="E623">
        <v>18</v>
      </c>
      <c r="F623" t="s">
        <v>41</v>
      </c>
    </row>
    <row r="624" spans="1:6" x14ac:dyDescent="0.3">
      <c r="A624">
        <v>1623</v>
      </c>
      <c r="B624">
        <v>558</v>
      </c>
      <c r="C624" t="s">
        <v>9</v>
      </c>
      <c r="D624" s="5">
        <v>45487</v>
      </c>
      <c r="E624">
        <v>17</v>
      </c>
      <c r="F624" t="s">
        <v>43</v>
      </c>
    </row>
    <row r="625" spans="1:6" x14ac:dyDescent="0.3">
      <c r="A625">
        <v>1624</v>
      </c>
      <c r="B625">
        <v>721</v>
      </c>
      <c r="C625" t="s">
        <v>169</v>
      </c>
      <c r="D625" s="5">
        <v>45603</v>
      </c>
      <c r="E625">
        <v>16</v>
      </c>
      <c r="F625" t="s">
        <v>171</v>
      </c>
    </row>
    <row r="626" spans="1:6" x14ac:dyDescent="0.3">
      <c r="A626">
        <v>1625</v>
      </c>
      <c r="B626">
        <v>603</v>
      </c>
      <c r="C626" t="s">
        <v>184</v>
      </c>
      <c r="D626" s="5">
        <v>45391</v>
      </c>
      <c r="E626">
        <v>8</v>
      </c>
      <c r="F626" t="s">
        <v>131</v>
      </c>
    </row>
    <row r="627" spans="1:6" x14ac:dyDescent="0.3">
      <c r="A627">
        <v>1626</v>
      </c>
      <c r="B627">
        <v>617</v>
      </c>
      <c r="C627" t="s">
        <v>114</v>
      </c>
      <c r="D627" s="5">
        <v>45350</v>
      </c>
      <c r="E627">
        <v>10</v>
      </c>
      <c r="F627" t="s">
        <v>40</v>
      </c>
    </row>
    <row r="628" spans="1:6" x14ac:dyDescent="0.3">
      <c r="A628">
        <v>1627</v>
      </c>
      <c r="B628">
        <v>667</v>
      </c>
      <c r="C628" t="s">
        <v>8</v>
      </c>
      <c r="D628" s="5">
        <v>45604</v>
      </c>
      <c r="E628">
        <v>8</v>
      </c>
      <c r="F628" t="s">
        <v>42</v>
      </c>
    </row>
    <row r="629" spans="1:6" x14ac:dyDescent="0.3">
      <c r="A629">
        <v>1628</v>
      </c>
      <c r="B629">
        <v>503</v>
      </c>
      <c r="C629" t="s">
        <v>126</v>
      </c>
      <c r="D629" s="5">
        <v>45363</v>
      </c>
      <c r="E629">
        <v>17</v>
      </c>
      <c r="F629" t="s">
        <v>42</v>
      </c>
    </row>
    <row r="630" spans="1:6" x14ac:dyDescent="0.3">
      <c r="A630">
        <v>1629</v>
      </c>
      <c r="B630">
        <v>574</v>
      </c>
      <c r="C630" t="s">
        <v>173</v>
      </c>
      <c r="D630" s="5">
        <v>45511</v>
      </c>
      <c r="E630">
        <v>4</v>
      </c>
      <c r="F630" t="s">
        <v>135</v>
      </c>
    </row>
    <row r="631" spans="1:6" x14ac:dyDescent="0.3">
      <c r="A631">
        <v>1630</v>
      </c>
      <c r="B631">
        <v>604</v>
      </c>
      <c r="C631" t="s">
        <v>156</v>
      </c>
      <c r="D631" s="5">
        <v>45349</v>
      </c>
      <c r="E631">
        <v>13</v>
      </c>
      <c r="F631" t="s">
        <v>112</v>
      </c>
    </row>
    <row r="632" spans="1:6" x14ac:dyDescent="0.3">
      <c r="A632">
        <v>1631</v>
      </c>
      <c r="B632">
        <v>748</v>
      </c>
      <c r="C632" t="s">
        <v>181</v>
      </c>
      <c r="D632" s="5">
        <v>45442</v>
      </c>
      <c r="E632">
        <v>12</v>
      </c>
      <c r="F632" t="s">
        <v>164</v>
      </c>
    </row>
    <row r="633" spans="1:6" x14ac:dyDescent="0.3">
      <c r="A633">
        <v>1632</v>
      </c>
      <c r="B633">
        <v>696</v>
      </c>
      <c r="C633" t="s">
        <v>110</v>
      </c>
      <c r="D633" s="5">
        <v>45636</v>
      </c>
      <c r="E633">
        <v>16</v>
      </c>
      <c r="F633" t="s">
        <v>112</v>
      </c>
    </row>
    <row r="634" spans="1:6" x14ac:dyDescent="0.3">
      <c r="A634">
        <v>1633</v>
      </c>
      <c r="B634">
        <v>599</v>
      </c>
      <c r="C634" t="s">
        <v>173</v>
      </c>
      <c r="D634" s="5">
        <v>45493</v>
      </c>
      <c r="E634">
        <v>7</v>
      </c>
      <c r="F634" t="s">
        <v>135</v>
      </c>
    </row>
    <row r="635" spans="1:6" x14ac:dyDescent="0.3">
      <c r="A635">
        <v>1634</v>
      </c>
      <c r="B635">
        <v>683</v>
      </c>
      <c r="C635" t="s">
        <v>73</v>
      </c>
      <c r="D635" s="5">
        <v>45586</v>
      </c>
      <c r="E635">
        <v>17</v>
      </c>
      <c r="F635" t="s">
        <v>105</v>
      </c>
    </row>
    <row r="636" spans="1:6" x14ac:dyDescent="0.3">
      <c r="A636">
        <v>1635</v>
      </c>
      <c r="B636">
        <v>685</v>
      </c>
      <c r="C636" t="s">
        <v>145</v>
      </c>
      <c r="D636" s="5">
        <v>45395</v>
      </c>
      <c r="E636">
        <v>5</v>
      </c>
      <c r="F636" t="s">
        <v>135</v>
      </c>
    </row>
    <row r="637" spans="1:6" x14ac:dyDescent="0.3">
      <c r="A637">
        <v>1636</v>
      </c>
      <c r="B637">
        <v>721</v>
      </c>
      <c r="C637" t="s">
        <v>126</v>
      </c>
      <c r="D637" s="5">
        <v>45635</v>
      </c>
      <c r="E637">
        <v>13</v>
      </c>
      <c r="F637" t="s">
        <v>42</v>
      </c>
    </row>
    <row r="638" spans="1:6" x14ac:dyDescent="0.3">
      <c r="A638">
        <v>1637</v>
      </c>
      <c r="B638">
        <v>587</v>
      </c>
      <c r="C638" t="s">
        <v>8</v>
      </c>
      <c r="D638" s="5">
        <v>45414</v>
      </c>
      <c r="E638">
        <v>12</v>
      </c>
      <c r="F638" t="s">
        <v>42</v>
      </c>
    </row>
    <row r="639" spans="1:6" x14ac:dyDescent="0.3">
      <c r="A639">
        <v>1638</v>
      </c>
      <c r="B639">
        <v>671</v>
      </c>
      <c r="C639" t="s">
        <v>145</v>
      </c>
      <c r="D639" s="5">
        <v>45426</v>
      </c>
      <c r="E639">
        <v>11</v>
      </c>
      <c r="F639" t="s">
        <v>135</v>
      </c>
    </row>
    <row r="640" spans="1:6" x14ac:dyDescent="0.3">
      <c r="A640">
        <v>1639</v>
      </c>
      <c r="B640">
        <v>664</v>
      </c>
      <c r="C640" t="s">
        <v>137</v>
      </c>
      <c r="D640" s="5">
        <v>45306</v>
      </c>
      <c r="E640">
        <v>19</v>
      </c>
      <c r="F640" t="s">
        <v>135</v>
      </c>
    </row>
    <row r="641" spans="1:6" x14ac:dyDescent="0.3">
      <c r="A641">
        <v>1640</v>
      </c>
      <c r="B641">
        <v>524</v>
      </c>
      <c r="C641" t="s">
        <v>11</v>
      </c>
      <c r="D641" s="5">
        <v>45596</v>
      </c>
      <c r="E641">
        <v>5</v>
      </c>
      <c r="F641" t="s">
        <v>105</v>
      </c>
    </row>
    <row r="642" spans="1:6" x14ac:dyDescent="0.3">
      <c r="A642">
        <v>1641</v>
      </c>
      <c r="B642">
        <v>680</v>
      </c>
      <c r="C642" t="s">
        <v>162</v>
      </c>
      <c r="D642" s="5">
        <v>45503</v>
      </c>
      <c r="E642">
        <v>5</v>
      </c>
      <c r="F642" t="s">
        <v>164</v>
      </c>
    </row>
    <row r="643" spans="1:6" x14ac:dyDescent="0.3">
      <c r="A643">
        <v>1642</v>
      </c>
      <c r="B643">
        <v>749</v>
      </c>
      <c r="C643" t="s">
        <v>175</v>
      </c>
      <c r="D643" s="5">
        <v>45565</v>
      </c>
      <c r="E643">
        <v>3</v>
      </c>
      <c r="F643" t="s">
        <v>105</v>
      </c>
    </row>
    <row r="644" spans="1:6" x14ac:dyDescent="0.3">
      <c r="A644">
        <v>1643</v>
      </c>
      <c r="B644">
        <v>502</v>
      </c>
      <c r="C644" t="s">
        <v>142</v>
      </c>
      <c r="D644" s="5">
        <v>45307</v>
      </c>
      <c r="E644">
        <v>6</v>
      </c>
      <c r="F644" t="s">
        <v>43</v>
      </c>
    </row>
    <row r="645" spans="1:6" x14ac:dyDescent="0.3">
      <c r="A645">
        <v>1644</v>
      </c>
      <c r="B645">
        <v>501</v>
      </c>
      <c r="C645" t="s">
        <v>110</v>
      </c>
      <c r="D645" s="5">
        <v>45344</v>
      </c>
      <c r="E645">
        <v>19</v>
      </c>
      <c r="F645" t="s">
        <v>112</v>
      </c>
    </row>
    <row r="646" spans="1:6" x14ac:dyDescent="0.3">
      <c r="A646">
        <v>1645</v>
      </c>
      <c r="B646">
        <v>717</v>
      </c>
      <c r="C646" t="s">
        <v>142</v>
      </c>
      <c r="D646" s="5">
        <v>45304</v>
      </c>
      <c r="E646">
        <v>14</v>
      </c>
      <c r="F646" t="s">
        <v>43</v>
      </c>
    </row>
    <row r="647" spans="1:6" x14ac:dyDescent="0.3">
      <c r="A647">
        <v>1646</v>
      </c>
      <c r="B647">
        <v>572</v>
      </c>
      <c r="C647" t="s">
        <v>175</v>
      </c>
      <c r="D647" s="5">
        <v>45657</v>
      </c>
      <c r="E647">
        <v>10</v>
      </c>
      <c r="F647" t="s">
        <v>105</v>
      </c>
    </row>
    <row r="648" spans="1:6" x14ac:dyDescent="0.3">
      <c r="A648">
        <v>1647</v>
      </c>
      <c r="B648">
        <v>656</v>
      </c>
      <c r="C648" t="s">
        <v>140</v>
      </c>
      <c r="D648" s="5">
        <v>45505</v>
      </c>
      <c r="E648">
        <v>1</v>
      </c>
      <c r="F648" t="s">
        <v>41</v>
      </c>
    </row>
    <row r="649" spans="1:6" x14ac:dyDescent="0.3">
      <c r="A649">
        <v>1648</v>
      </c>
      <c r="B649">
        <v>732</v>
      </c>
      <c r="C649" t="s">
        <v>184</v>
      </c>
      <c r="D649" s="5">
        <v>45648</v>
      </c>
      <c r="E649">
        <v>5</v>
      </c>
      <c r="F649" t="s">
        <v>131</v>
      </c>
    </row>
    <row r="650" spans="1:6" x14ac:dyDescent="0.3">
      <c r="A650">
        <v>1649</v>
      </c>
      <c r="B650">
        <v>699</v>
      </c>
      <c r="C650" t="s">
        <v>133</v>
      </c>
      <c r="D650" s="5">
        <v>45373</v>
      </c>
      <c r="E650">
        <v>13</v>
      </c>
      <c r="F650" t="s">
        <v>135</v>
      </c>
    </row>
    <row r="651" spans="1:6" x14ac:dyDescent="0.3">
      <c r="A651">
        <v>1650</v>
      </c>
      <c r="B651">
        <v>581</v>
      </c>
      <c r="C651" t="s">
        <v>126</v>
      </c>
      <c r="D651" s="5">
        <v>45376</v>
      </c>
      <c r="E651">
        <v>17</v>
      </c>
      <c r="F651" t="s">
        <v>42</v>
      </c>
    </row>
    <row r="652" spans="1:6" x14ac:dyDescent="0.3">
      <c r="A652">
        <v>1651</v>
      </c>
      <c r="B652">
        <v>520</v>
      </c>
      <c r="C652" t="s">
        <v>117</v>
      </c>
      <c r="D652" s="5">
        <v>45499</v>
      </c>
      <c r="E652">
        <v>19</v>
      </c>
      <c r="F652" t="s">
        <v>119</v>
      </c>
    </row>
    <row r="653" spans="1:6" x14ac:dyDescent="0.3">
      <c r="A653">
        <v>1652</v>
      </c>
      <c r="B653">
        <v>586</v>
      </c>
      <c r="C653" t="s">
        <v>6</v>
      </c>
      <c r="D653" s="5">
        <v>45624</v>
      </c>
      <c r="E653">
        <v>4</v>
      </c>
      <c r="F653" t="s">
        <v>40</v>
      </c>
    </row>
    <row r="654" spans="1:6" x14ac:dyDescent="0.3">
      <c r="A654">
        <v>1653</v>
      </c>
      <c r="B654">
        <v>558</v>
      </c>
      <c r="C654" t="s">
        <v>184</v>
      </c>
      <c r="D654" s="5">
        <v>45468</v>
      </c>
      <c r="E654">
        <v>20</v>
      </c>
      <c r="F654" t="s">
        <v>131</v>
      </c>
    </row>
    <row r="655" spans="1:6" x14ac:dyDescent="0.3">
      <c r="A655">
        <v>1654</v>
      </c>
      <c r="B655">
        <v>501</v>
      </c>
      <c r="C655" t="s">
        <v>126</v>
      </c>
      <c r="D655" s="5">
        <v>45355</v>
      </c>
      <c r="E655">
        <v>18</v>
      </c>
      <c r="F655" t="s">
        <v>42</v>
      </c>
    </row>
    <row r="656" spans="1:6" x14ac:dyDescent="0.3">
      <c r="A656">
        <v>1655</v>
      </c>
      <c r="B656">
        <v>541</v>
      </c>
      <c r="C656" t="s">
        <v>110</v>
      </c>
      <c r="D656" s="5">
        <v>45375</v>
      </c>
      <c r="E656">
        <v>12</v>
      </c>
      <c r="F656" t="s">
        <v>112</v>
      </c>
    </row>
    <row r="657" spans="1:6" x14ac:dyDescent="0.3">
      <c r="A657">
        <v>1656</v>
      </c>
      <c r="B657">
        <v>593</v>
      </c>
      <c r="C657" t="s">
        <v>7</v>
      </c>
      <c r="D657" s="5">
        <v>45395</v>
      </c>
      <c r="E657">
        <v>5</v>
      </c>
      <c r="F657" t="s">
        <v>41</v>
      </c>
    </row>
    <row r="658" spans="1:6" x14ac:dyDescent="0.3">
      <c r="A658">
        <v>1657</v>
      </c>
      <c r="B658">
        <v>521</v>
      </c>
      <c r="C658" t="s">
        <v>140</v>
      </c>
      <c r="D658" s="5">
        <v>45465</v>
      </c>
      <c r="E658">
        <v>8</v>
      </c>
      <c r="F658" t="s">
        <v>41</v>
      </c>
    </row>
    <row r="659" spans="1:6" x14ac:dyDescent="0.3">
      <c r="A659">
        <v>1658</v>
      </c>
      <c r="B659">
        <v>631</v>
      </c>
      <c r="C659" t="s">
        <v>133</v>
      </c>
      <c r="D659" s="5">
        <v>45314</v>
      </c>
      <c r="E659">
        <v>19</v>
      </c>
      <c r="F659" t="s">
        <v>135</v>
      </c>
    </row>
    <row r="660" spans="1:6" x14ac:dyDescent="0.3">
      <c r="A660">
        <v>1659</v>
      </c>
      <c r="B660">
        <v>505</v>
      </c>
      <c r="C660" t="s">
        <v>181</v>
      </c>
      <c r="D660" s="5">
        <v>45416</v>
      </c>
      <c r="E660">
        <v>10</v>
      </c>
      <c r="F660" t="s">
        <v>164</v>
      </c>
    </row>
    <row r="661" spans="1:6" x14ac:dyDescent="0.3">
      <c r="A661">
        <v>1660</v>
      </c>
      <c r="B661">
        <v>610</v>
      </c>
      <c r="C661" t="s">
        <v>166</v>
      </c>
      <c r="D661" s="5">
        <v>45506</v>
      </c>
      <c r="E661">
        <v>1</v>
      </c>
      <c r="F661" t="s">
        <v>40</v>
      </c>
    </row>
    <row r="662" spans="1:6" x14ac:dyDescent="0.3">
      <c r="A662">
        <v>1661</v>
      </c>
      <c r="B662">
        <v>614</v>
      </c>
      <c r="C662" t="s">
        <v>73</v>
      </c>
      <c r="D662" s="5">
        <v>45329</v>
      </c>
      <c r="E662">
        <v>4</v>
      </c>
      <c r="F662" t="s">
        <v>105</v>
      </c>
    </row>
    <row r="663" spans="1:6" x14ac:dyDescent="0.3">
      <c r="A663">
        <v>1662</v>
      </c>
      <c r="B663">
        <v>680</v>
      </c>
      <c r="C663" t="s">
        <v>126</v>
      </c>
      <c r="D663" s="5">
        <v>45598</v>
      </c>
      <c r="E663">
        <v>5</v>
      </c>
      <c r="F663" t="s">
        <v>42</v>
      </c>
    </row>
    <row r="664" spans="1:6" x14ac:dyDescent="0.3">
      <c r="A664">
        <v>1663</v>
      </c>
      <c r="B664">
        <v>700</v>
      </c>
      <c r="C664" t="s">
        <v>126</v>
      </c>
      <c r="D664" s="5">
        <v>45598</v>
      </c>
      <c r="E664">
        <v>13</v>
      </c>
      <c r="F664" t="s">
        <v>42</v>
      </c>
    </row>
    <row r="665" spans="1:6" x14ac:dyDescent="0.3">
      <c r="A665">
        <v>1664</v>
      </c>
      <c r="B665">
        <v>596</v>
      </c>
      <c r="C665" t="s">
        <v>140</v>
      </c>
      <c r="D665" s="5">
        <v>45428</v>
      </c>
      <c r="E665">
        <v>19</v>
      </c>
      <c r="F665" t="s">
        <v>41</v>
      </c>
    </row>
    <row r="666" spans="1:6" x14ac:dyDescent="0.3">
      <c r="A666">
        <v>1665</v>
      </c>
      <c r="B666">
        <v>648</v>
      </c>
      <c r="C666" t="s">
        <v>126</v>
      </c>
      <c r="D666" s="5">
        <v>45536</v>
      </c>
      <c r="E666">
        <v>18</v>
      </c>
      <c r="F666" t="s">
        <v>42</v>
      </c>
    </row>
    <row r="667" spans="1:6" x14ac:dyDescent="0.3">
      <c r="A667">
        <v>1666</v>
      </c>
      <c r="B667">
        <v>518</v>
      </c>
      <c r="C667" t="s">
        <v>145</v>
      </c>
      <c r="D667" s="5">
        <v>45458</v>
      </c>
      <c r="E667">
        <v>17</v>
      </c>
      <c r="F667" t="s">
        <v>135</v>
      </c>
    </row>
    <row r="668" spans="1:6" x14ac:dyDescent="0.3">
      <c r="A668">
        <v>1667</v>
      </c>
      <c r="B668">
        <v>627</v>
      </c>
      <c r="C668" t="s">
        <v>110</v>
      </c>
      <c r="D668" s="5">
        <v>45651</v>
      </c>
      <c r="E668">
        <v>8</v>
      </c>
      <c r="F668" t="s">
        <v>112</v>
      </c>
    </row>
    <row r="669" spans="1:6" x14ac:dyDescent="0.3">
      <c r="A669">
        <v>1668</v>
      </c>
      <c r="B669">
        <v>606</v>
      </c>
      <c r="C669" t="s">
        <v>133</v>
      </c>
      <c r="D669" s="5">
        <v>45482</v>
      </c>
      <c r="E669">
        <v>7</v>
      </c>
      <c r="F669" t="s">
        <v>135</v>
      </c>
    </row>
    <row r="670" spans="1:6" x14ac:dyDescent="0.3">
      <c r="A670">
        <v>1669</v>
      </c>
      <c r="B670">
        <v>723</v>
      </c>
      <c r="C670" t="s">
        <v>142</v>
      </c>
      <c r="D670" s="5">
        <v>45525</v>
      </c>
      <c r="E670">
        <v>14</v>
      </c>
      <c r="F670" t="s">
        <v>43</v>
      </c>
    </row>
    <row r="671" spans="1:6" x14ac:dyDescent="0.3">
      <c r="A671">
        <v>1670</v>
      </c>
      <c r="B671">
        <v>643</v>
      </c>
      <c r="C671" t="s">
        <v>133</v>
      </c>
      <c r="D671" s="5">
        <v>45316</v>
      </c>
      <c r="E671">
        <v>10</v>
      </c>
      <c r="F671" t="s">
        <v>135</v>
      </c>
    </row>
    <row r="672" spans="1:6" x14ac:dyDescent="0.3">
      <c r="A672">
        <v>1671</v>
      </c>
      <c r="B672">
        <v>660</v>
      </c>
      <c r="C672" t="s">
        <v>142</v>
      </c>
      <c r="D672" s="5">
        <v>45399</v>
      </c>
      <c r="E672">
        <v>1</v>
      </c>
      <c r="F672" t="s">
        <v>43</v>
      </c>
    </row>
    <row r="673" spans="1:6" x14ac:dyDescent="0.3">
      <c r="A673">
        <v>1672</v>
      </c>
      <c r="B673">
        <v>682</v>
      </c>
      <c r="C673" t="s">
        <v>129</v>
      </c>
      <c r="D673" s="5">
        <v>45394</v>
      </c>
      <c r="E673">
        <v>10</v>
      </c>
      <c r="F673" t="s">
        <v>131</v>
      </c>
    </row>
    <row r="674" spans="1:6" x14ac:dyDescent="0.3">
      <c r="A674">
        <v>1673</v>
      </c>
      <c r="B674">
        <v>732</v>
      </c>
      <c r="C674" t="s">
        <v>169</v>
      </c>
      <c r="D674" s="5">
        <v>45310</v>
      </c>
      <c r="E674">
        <v>12</v>
      </c>
      <c r="F674" t="s">
        <v>171</v>
      </c>
    </row>
    <row r="675" spans="1:6" x14ac:dyDescent="0.3">
      <c r="A675">
        <v>1674</v>
      </c>
      <c r="B675">
        <v>746</v>
      </c>
      <c r="C675" t="s">
        <v>123</v>
      </c>
      <c r="D675" s="5">
        <v>45578</v>
      </c>
      <c r="E675">
        <v>20</v>
      </c>
      <c r="F675" t="s">
        <v>112</v>
      </c>
    </row>
    <row r="676" spans="1:6" x14ac:dyDescent="0.3">
      <c r="A676">
        <v>1675</v>
      </c>
      <c r="B676">
        <v>672</v>
      </c>
      <c r="C676" t="s">
        <v>6</v>
      </c>
      <c r="D676" s="5">
        <v>45358</v>
      </c>
      <c r="E676">
        <v>7</v>
      </c>
      <c r="F676" t="s">
        <v>40</v>
      </c>
    </row>
    <row r="677" spans="1:6" x14ac:dyDescent="0.3">
      <c r="A677">
        <v>1676</v>
      </c>
      <c r="B677">
        <v>530</v>
      </c>
      <c r="C677" t="s">
        <v>160</v>
      </c>
      <c r="D677" s="5">
        <v>45300</v>
      </c>
      <c r="E677">
        <v>20</v>
      </c>
      <c r="F677" t="s">
        <v>41</v>
      </c>
    </row>
    <row r="678" spans="1:6" x14ac:dyDescent="0.3">
      <c r="A678">
        <v>1677</v>
      </c>
      <c r="B678">
        <v>634</v>
      </c>
      <c r="C678" t="s">
        <v>123</v>
      </c>
      <c r="D678" s="5">
        <v>45610</v>
      </c>
      <c r="E678">
        <v>12</v>
      </c>
      <c r="F678" t="s">
        <v>112</v>
      </c>
    </row>
    <row r="679" spans="1:6" x14ac:dyDescent="0.3">
      <c r="A679">
        <v>1678</v>
      </c>
      <c r="B679">
        <v>598</v>
      </c>
      <c r="C679" t="s">
        <v>184</v>
      </c>
      <c r="D679" s="5">
        <v>45646</v>
      </c>
      <c r="E679">
        <v>19</v>
      </c>
      <c r="F679" t="s">
        <v>131</v>
      </c>
    </row>
    <row r="680" spans="1:6" x14ac:dyDescent="0.3">
      <c r="A680">
        <v>1679</v>
      </c>
      <c r="B680">
        <v>613</v>
      </c>
      <c r="C680" t="s">
        <v>126</v>
      </c>
      <c r="D680" s="5">
        <v>45361</v>
      </c>
      <c r="E680">
        <v>9</v>
      </c>
      <c r="F680" t="s">
        <v>42</v>
      </c>
    </row>
    <row r="681" spans="1:6" x14ac:dyDescent="0.3">
      <c r="A681">
        <v>1680</v>
      </c>
      <c r="B681">
        <v>649</v>
      </c>
      <c r="C681" t="s">
        <v>158</v>
      </c>
      <c r="D681" s="5">
        <v>45563</v>
      </c>
      <c r="E681">
        <v>18</v>
      </c>
      <c r="F681" t="s">
        <v>112</v>
      </c>
    </row>
    <row r="682" spans="1:6" x14ac:dyDescent="0.3">
      <c r="A682">
        <v>1681</v>
      </c>
      <c r="B682">
        <v>737</v>
      </c>
      <c r="C682" t="s">
        <v>169</v>
      </c>
      <c r="D682" s="5">
        <v>45477</v>
      </c>
      <c r="E682">
        <v>10</v>
      </c>
      <c r="F682" t="s">
        <v>171</v>
      </c>
    </row>
    <row r="683" spans="1:6" x14ac:dyDescent="0.3">
      <c r="A683">
        <v>1682</v>
      </c>
      <c r="B683">
        <v>517</v>
      </c>
      <c r="C683" t="s">
        <v>162</v>
      </c>
      <c r="D683" s="5">
        <v>45481</v>
      </c>
      <c r="E683">
        <v>7</v>
      </c>
      <c r="F683" t="s">
        <v>164</v>
      </c>
    </row>
    <row r="684" spans="1:6" x14ac:dyDescent="0.3">
      <c r="A684">
        <v>1683</v>
      </c>
      <c r="B684">
        <v>663</v>
      </c>
      <c r="C684" t="s">
        <v>162</v>
      </c>
      <c r="D684" s="5">
        <v>45468</v>
      </c>
      <c r="E684">
        <v>17</v>
      </c>
      <c r="F684" t="s">
        <v>164</v>
      </c>
    </row>
    <row r="685" spans="1:6" x14ac:dyDescent="0.3">
      <c r="A685">
        <v>1684</v>
      </c>
      <c r="B685">
        <v>601</v>
      </c>
      <c r="C685" t="s">
        <v>142</v>
      </c>
      <c r="D685" s="5">
        <v>45625</v>
      </c>
      <c r="E685">
        <v>11</v>
      </c>
      <c r="F685" t="s">
        <v>43</v>
      </c>
    </row>
    <row r="686" spans="1:6" x14ac:dyDescent="0.3">
      <c r="A686">
        <v>1685</v>
      </c>
      <c r="B686">
        <v>717</v>
      </c>
      <c r="C686" t="s">
        <v>184</v>
      </c>
      <c r="D686" s="5">
        <v>45377</v>
      </c>
      <c r="E686">
        <v>11</v>
      </c>
      <c r="F686" t="s">
        <v>131</v>
      </c>
    </row>
    <row r="687" spans="1:6" x14ac:dyDescent="0.3">
      <c r="A687">
        <v>1686</v>
      </c>
      <c r="B687">
        <v>527</v>
      </c>
      <c r="C687" t="s">
        <v>126</v>
      </c>
      <c r="D687" s="5">
        <v>45374</v>
      </c>
      <c r="E687">
        <v>19</v>
      </c>
      <c r="F687" t="s">
        <v>42</v>
      </c>
    </row>
    <row r="688" spans="1:6" x14ac:dyDescent="0.3">
      <c r="A688">
        <v>1687</v>
      </c>
      <c r="B688">
        <v>536</v>
      </c>
      <c r="C688" t="s">
        <v>178</v>
      </c>
      <c r="D688" s="5">
        <v>45427</v>
      </c>
      <c r="E688">
        <v>17</v>
      </c>
      <c r="F688" t="s">
        <v>105</v>
      </c>
    </row>
    <row r="689" spans="1:6" x14ac:dyDescent="0.3">
      <c r="A689">
        <v>1688</v>
      </c>
      <c r="B689">
        <v>658</v>
      </c>
      <c r="C689" t="s">
        <v>121</v>
      </c>
      <c r="D689" s="5">
        <v>45436</v>
      </c>
      <c r="E689">
        <v>20</v>
      </c>
      <c r="F689" t="s">
        <v>105</v>
      </c>
    </row>
    <row r="690" spans="1:6" x14ac:dyDescent="0.3">
      <c r="A690">
        <v>1689</v>
      </c>
      <c r="B690">
        <v>506</v>
      </c>
      <c r="C690" t="s">
        <v>175</v>
      </c>
      <c r="D690" s="5">
        <v>45627</v>
      </c>
      <c r="E690">
        <v>5</v>
      </c>
      <c r="F690" t="s">
        <v>105</v>
      </c>
    </row>
    <row r="691" spans="1:6" x14ac:dyDescent="0.3">
      <c r="A691">
        <v>1690</v>
      </c>
      <c r="B691">
        <v>519</v>
      </c>
      <c r="C691" t="s">
        <v>156</v>
      </c>
      <c r="D691" s="5">
        <v>45372</v>
      </c>
      <c r="E691">
        <v>5</v>
      </c>
      <c r="F691" t="s">
        <v>112</v>
      </c>
    </row>
    <row r="692" spans="1:6" x14ac:dyDescent="0.3">
      <c r="A692">
        <v>1691</v>
      </c>
      <c r="B692">
        <v>567</v>
      </c>
      <c r="C692" t="s">
        <v>156</v>
      </c>
      <c r="D692" s="5">
        <v>45646</v>
      </c>
      <c r="E692">
        <v>10</v>
      </c>
      <c r="F692" t="s">
        <v>112</v>
      </c>
    </row>
    <row r="693" spans="1:6" x14ac:dyDescent="0.3">
      <c r="A693">
        <v>1692</v>
      </c>
      <c r="B693">
        <v>640</v>
      </c>
      <c r="C693" t="s">
        <v>145</v>
      </c>
      <c r="D693" s="5">
        <v>45327</v>
      </c>
      <c r="E693">
        <v>11</v>
      </c>
      <c r="F693" t="s">
        <v>135</v>
      </c>
    </row>
    <row r="694" spans="1:6" x14ac:dyDescent="0.3">
      <c r="A694">
        <v>1693</v>
      </c>
      <c r="B694">
        <v>689</v>
      </c>
      <c r="C694" t="s">
        <v>114</v>
      </c>
      <c r="D694" s="5">
        <v>45495</v>
      </c>
      <c r="E694">
        <v>7</v>
      </c>
      <c r="F694" t="s">
        <v>40</v>
      </c>
    </row>
    <row r="695" spans="1:6" x14ac:dyDescent="0.3">
      <c r="A695">
        <v>1694</v>
      </c>
      <c r="B695">
        <v>699</v>
      </c>
      <c r="C695" t="s">
        <v>7</v>
      </c>
      <c r="D695" s="5">
        <v>45627</v>
      </c>
      <c r="E695">
        <v>7</v>
      </c>
      <c r="F695" t="s">
        <v>41</v>
      </c>
    </row>
    <row r="696" spans="1:6" x14ac:dyDescent="0.3">
      <c r="A696">
        <v>1695</v>
      </c>
      <c r="B696">
        <v>512</v>
      </c>
      <c r="C696" t="s">
        <v>154</v>
      </c>
      <c r="D696" s="5">
        <v>45592</v>
      </c>
      <c r="E696">
        <v>8</v>
      </c>
      <c r="F696" t="s">
        <v>152</v>
      </c>
    </row>
    <row r="697" spans="1:6" x14ac:dyDescent="0.3">
      <c r="A697">
        <v>1696</v>
      </c>
      <c r="B697">
        <v>723</v>
      </c>
      <c r="C697" t="s">
        <v>110</v>
      </c>
      <c r="D697" s="5">
        <v>45479</v>
      </c>
      <c r="E697">
        <v>8</v>
      </c>
      <c r="F697" t="s">
        <v>112</v>
      </c>
    </row>
    <row r="698" spans="1:6" x14ac:dyDescent="0.3">
      <c r="A698">
        <v>1697</v>
      </c>
      <c r="B698">
        <v>612</v>
      </c>
      <c r="C698" t="s">
        <v>162</v>
      </c>
      <c r="D698" s="5">
        <v>45326</v>
      </c>
      <c r="E698">
        <v>6</v>
      </c>
      <c r="F698" t="s">
        <v>164</v>
      </c>
    </row>
    <row r="699" spans="1:6" x14ac:dyDescent="0.3">
      <c r="A699">
        <v>1698</v>
      </c>
      <c r="B699">
        <v>527</v>
      </c>
      <c r="C699" t="s">
        <v>114</v>
      </c>
      <c r="D699" s="5">
        <v>45627</v>
      </c>
      <c r="E699">
        <v>19</v>
      </c>
      <c r="F699" t="s">
        <v>40</v>
      </c>
    </row>
    <row r="700" spans="1:6" x14ac:dyDescent="0.3">
      <c r="A700">
        <v>1699</v>
      </c>
      <c r="B700">
        <v>644</v>
      </c>
      <c r="C700" t="s">
        <v>181</v>
      </c>
      <c r="D700" s="5">
        <v>45550</v>
      </c>
      <c r="E700">
        <v>10</v>
      </c>
      <c r="F700" t="s">
        <v>164</v>
      </c>
    </row>
    <row r="701" spans="1:6" x14ac:dyDescent="0.3">
      <c r="A701">
        <v>1700</v>
      </c>
      <c r="B701">
        <v>748</v>
      </c>
      <c r="C701" t="s">
        <v>7</v>
      </c>
      <c r="D701" s="5">
        <v>45532</v>
      </c>
      <c r="E701">
        <v>20</v>
      </c>
      <c r="F701" t="s">
        <v>41</v>
      </c>
    </row>
    <row r="702" spans="1:6" x14ac:dyDescent="0.3">
      <c r="A702">
        <v>1701</v>
      </c>
      <c r="B702">
        <v>524</v>
      </c>
      <c r="C702" t="s">
        <v>175</v>
      </c>
      <c r="D702" s="5">
        <v>45416</v>
      </c>
      <c r="E702">
        <v>13</v>
      </c>
      <c r="F702" t="s">
        <v>105</v>
      </c>
    </row>
    <row r="703" spans="1:6" x14ac:dyDescent="0.3">
      <c r="A703">
        <v>1702</v>
      </c>
      <c r="B703">
        <v>699</v>
      </c>
      <c r="C703" t="s">
        <v>114</v>
      </c>
      <c r="D703" s="5">
        <v>45400</v>
      </c>
      <c r="E703">
        <v>12</v>
      </c>
      <c r="F703" t="s">
        <v>40</v>
      </c>
    </row>
    <row r="704" spans="1:6" x14ac:dyDescent="0.3">
      <c r="A704">
        <v>1703</v>
      </c>
      <c r="B704">
        <v>739</v>
      </c>
      <c r="C704" t="s">
        <v>148</v>
      </c>
      <c r="D704" s="5">
        <v>45347</v>
      </c>
      <c r="E704">
        <v>18</v>
      </c>
      <c r="F704" t="s">
        <v>105</v>
      </c>
    </row>
    <row r="705" spans="1:6" x14ac:dyDescent="0.3">
      <c r="A705">
        <v>1704</v>
      </c>
      <c r="B705">
        <v>612</v>
      </c>
      <c r="C705" t="s">
        <v>160</v>
      </c>
      <c r="D705" s="5">
        <v>45581</v>
      </c>
      <c r="E705">
        <v>11</v>
      </c>
      <c r="F705" t="s">
        <v>41</v>
      </c>
    </row>
    <row r="706" spans="1:6" x14ac:dyDescent="0.3">
      <c r="A706">
        <v>1705</v>
      </c>
      <c r="B706">
        <v>632</v>
      </c>
      <c r="C706" t="s">
        <v>110</v>
      </c>
      <c r="D706" s="5">
        <v>45297</v>
      </c>
      <c r="E706">
        <v>1</v>
      </c>
      <c r="F706" t="s">
        <v>112</v>
      </c>
    </row>
    <row r="707" spans="1:6" x14ac:dyDescent="0.3">
      <c r="A707">
        <v>1706</v>
      </c>
      <c r="B707">
        <v>535</v>
      </c>
      <c r="C707" t="s">
        <v>72</v>
      </c>
      <c r="D707" s="5">
        <v>45517</v>
      </c>
      <c r="E707">
        <v>15</v>
      </c>
      <c r="F707" t="s">
        <v>41</v>
      </c>
    </row>
    <row r="708" spans="1:6" x14ac:dyDescent="0.3">
      <c r="A708">
        <v>1707</v>
      </c>
      <c r="B708">
        <v>532</v>
      </c>
      <c r="C708" t="s">
        <v>121</v>
      </c>
      <c r="D708" s="5">
        <v>45579</v>
      </c>
      <c r="E708">
        <v>2</v>
      </c>
      <c r="F708" t="s">
        <v>105</v>
      </c>
    </row>
    <row r="709" spans="1:6" x14ac:dyDescent="0.3">
      <c r="A709">
        <v>1708</v>
      </c>
      <c r="B709">
        <v>518</v>
      </c>
      <c r="C709" t="s">
        <v>9</v>
      </c>
      <c r="D709" s="5">
        <v>45308</v>
      </c>
      <c r="E709">
        <v>10</v>
      </c>
      <c r="F709" t="s">
        <v>43</v>
      </c>
    </row>
    <row r="710" spans="1:6" x14ac:dyDescent="0.3">
      <c r="A710">
        <v>1709</v>
      </c>
      <c r="B710">
        <v>575</v>
      </c>
      <c r="C710" t="s">
        <v>166</v>
      </c>
      <c r="D710" s="5">
        <v>45620</v>
      </c>
      <c r="E710">
        <v>12</v>
      </c>
      <c r="F710" t="s">
        <v>40</v>
      </c>
    </row>
    <row r="711" spans="1:6" x14ac:dyDescent="0.3">
      <c r="A711">
        <v>1710</v>
      </c>
      <c r="B711">
        <v>566</v>
      </c>
      <c r="C711" t="s">
        <v>158</v>
      </c>
      <c r="D711" s="5">
        <v>45508</v>
      </c>
      <c r="E711">
        <v>1</v>
      </c>
      <c r="F711" t="s">
        <v>112</v>
      </c>
    </row>
    <row r="712" spans="1:6" x14ac:dyDescent="0.3">
      <c r="A712">
        <v>1711</v>
      </c>
      <c r="B712">
        <v>673</v>
      </c>
      <c r="C712" t="s">
        <v>160</v>
      </c>
      <c r="D712" s="5">
        <v>45503</v>
      </c>
      <c r="E712">
        <v>14</v>
      </c>
      <c r="F712" t="s">
        <v>41</v>
      </c>
    </row>
    <row r="713" spans="1:6" x14ac:dyDescent="0.3">
      <c r="A713">
        <v>1712</v>
      </c>
      <c r="B713">
        <v>539</v>
      </c>
      <c r="C713" t="s">
        <v>73</v>
      </c>
      <c r="D713" s="5">
        <v>45533</v>
      </c>
      <c r="E713">
        <v>19</v>
      </c>
      <c r="F713" t="s">
        <v>105</v>
      </c>
    </row>
    <row r="714" spans="1:6" x14ac:dyDescent="0.3">
      <c r="A714">
        <v>1713</v>
      </c>
      <c r="B714">
        <v>562</v>
      </c>
      <c r="C714" t="s">
        <v>117</v>
      </c>
      <c r="D714" s="5">
        <v>45458</v>
      </c>
      <c r="E714">
        <v>4</v>
      </c>
      <c r="F714" t="s">
        <v>119</v>
      </c>
    </row>
    <row r="715" spans="1:6" x14ac:dyDescent="0.3">
      <c r="A715">
        <v>1714</v>
      </c>
      <c r="B715">
        <v>654</v>
      </c>
      <c r="C715" t="s">
        <v>160</v>
      </c>
      <c r="D715" s="5">
        <v>45518</v>
      </c>
      <c r="E715">
        <v>13</v>
      </c>
      <c r="F715" t="s">
        <v>41</v>
      </c>
    </row>
    <row r="716" spans="1:6" x14ac:dyDescent="0.3">
      <c r="A716">
        <v>1715</v>
      </c>
      <c r="B716">
        <v>527</v>
      </c>
      <c r="C716" t="s">
        <v>154</v>
      </c>
      <c r="D716" s="5">
        <v>45477</v>
      </c>
      <c r="E716">
        <v>14</v>
      </c>
      <c r="F716" t="s">
        <v>152</v>
      </c>
    </row>
    <row r="717" spans="1:6" x14ac:dyDescent="0.3">
      <c r="A717">
        <v>1716</v>
      </c>
      <c r="B717">
        <v>740</v>
      </c>
      <c r="C717" t="s">
        <v>8</v>
      </c>
      <c r="D717" s="5">
        <v>45415</v>
      </c>
      <c r="E717">
        <v>5</v>
      </c>
      <c r="F717" t="s">
        <v>42</v>
      </c>
    </row>
    <row r="718" spans="1:6" x14ac:dyDescent="0.3">
      <c r="A718">
        <v>1717</v>
      </c>
      <c r="B718">
        <v>515</v>
      </c>
      <c r="C718" t="s">
        <v>126</v>
      </c>
      <c r="D718" s="5">
        <v>45434</v>
      </c>
      <c r="E718">
        <v>11</v>
      </c>
      <c r="F718" t="s">
        <v>42</v>
      </c>
    </row>
    <row r="719" spans="1:6" x14ac:dyDescent="0.3">
      <c r="A719">
        <v>1718</v>
      </c>
      <c r="B719">
        <v>615</v>
      </c>
      <c r="C719" t="s">
        <v>117</v>
      </c>
      <c r="D719" s="5">
        <v>45601</v>
      </c>
      <c r="E719">
        <v>1</v>
      </c>
      <c r="F719" t="s">
        <v>119</v>
      </c>
    </row>
    <row r="720" spans="1:6" x14ac:dyDescent="0.3">
      <c r="A720">
        <v>1719</v>
      </c>
      <c r="B720">
        <v>710</v>
      </c>
      <c r="C720" t="s">
        <v>162</v>
      </c>
      <c r="D720" s="5">
        <v>45515</v>
      </c>
      <c r="E720">
        <v>13</v>
      </c>
      <c r="F720" t="s">
        <v>164</v>
      </c>
    </row>
    <row r="721" spans="1:6" x14ac:dyDescent="0.3">
      <c r="A721">
        <v>1720</v>
      </c>
      <c r="B721">
        <v>647</v>
      </c>
      <c r="C721" t="s">
        <v>156</v>
      </c>
      <c r="D721" s="5">
        <v>45370</v>
      </c>
      <c r="E721">
        <v>4</v>
      </c>
      <c r="F721" t="s">
        <v>112</v>
      </c>
    </row>
    <row r="722" spans="1:6" x14ac:dyDescent="0.3">
      <c r="A722">
        <v>1721</v>
      </c>
      <c r="B722">
        <v>648</v>
      </c>
      <c r="C722" t="s">
        <v>140</v>
      </c>
      <c r="D722" s="5">
        <v>45601</v>
      </c>
      <c r="E722">
        <v>20</v>
      </c>
      <c r="F722" t="s">
        <v>41</v>
      </c>
    </row>
    <row r="723" spans="1:6" x14ac:dyDescent="0.3">
      <c r="A723">
        <v>1722</v>
      </c>
      <c r="B723">
        <v>625</v>
      </c>
      <c r="C723" t="s">
        <v>72</v>
      </c>
      <c r="D723" s="5">
        <v>45438</v>
      </c>
      <c r="E723">
        <v>9</v>
      </c>
      <c r="F723" t="s">
        <v>41</v>
      </c>
    </row>
    <row r="724" spans="1:6" x14ac:dyDescent="0.3">
      <c r="A724">
        <v>1723</v>
      </c>
      <c r="B724">
        <v>715</v>
      </c>
      <c r="C724" t="s">
        <v>72</v>
      </c>
      <c r="D724" s="5">
        <v>45559</v>
      </c>
      <c r="E724">
        <v>9</v>
      </c>
      <c r="F724" t="s">
        <v>41</v>
      </c>
    </row>
    <row r="725" spans="1:6" x14ac:dyDescent="0.3">
      <c r="A725">
        <v>1724</v>
      </c>
      <c r="B725">
        <v>522</v>
      </c>
      <c r="C725" t="s">
        <v>123</v>
      </c>
      <c r="D725" s="5">
        <v>45439</v>
      </c>
      <c r="E725">
        <v>12</v>
      </c>
      <c r="F725" t="s">
        <v>112</v>
      </c>
    </row>
    <row r="726" spans="1:6" x14ac:dyDescent="0.3">
      <c r="A726">
        <v>1725</v>
      </c>
      <c r="B726">
        <v>714</v>
      </c>
      <c r="C726" t="s">
        <v>7</v>
      </c>
      <c r="D726" s="5">
        <v>45486</v>
      </c>
      <c r="E726">
        <v>14</v>
      </c>
      <c r="F726" t="s">
        <v>41</v>
      </c>
    </row>
    <row r="727" spans="1:6" x14ac:dyDescent="0.3">
      <c r="A727">
        <v>1726</v>
      </c>
      <c r="B727">
        <v>720</v>
      </c>
      <c r="C727" t="s">
        <v>6</v>
      </c>
      <c r="D727" s="5">
        <v>45313</v>
      </c>
      <c r="E727">
        <v>17</v>
      </c>
      <c r="F727" t="s">
        <v>40</v>
      </c>
    </row>
    <row r="728" spans="1:6" x14ac:dyDescent="0.3">
      <c r="A728">
        <v>1727</v>
      </c>
      <c r="B728">
        <v>582</v>
      </c>
      <c r="C728" t="s">
        <v>10</v>
      </c>
      <c r="D728" s="5">
        <v>45314</v>
      </c>
      <c r="E728">
        <v>12</v>
      </c>
      <c r="F728" t="s">
        <v>44</v>
      </c>
    </row>
    <row r="729" spans="1:6" x14ac:dyDescent="0.3">
      <c r="A729">
        <v>1728</v>
      </c>
      <c r="B729">
        <v>663</v>
      </c>
      <c r="C729" t="s">
        <v>7</v>
      </c>
      <c r="D729" s="5">
        <v>45324</v>
      </c>
      <c r="E729">
        <v>9</v>
      </c>
      <c r="F729" t="s">
        <v>41</v>
      </c>
    </row>
    <row r="730" spans="1:6" x14ac:dyDescent="0.3">
      <c r="A730">
        <v>1729</v>
      </c>
      <c r="B730">
        <v>621</v>
      </c>
      <c r="C730" t="s">
        <v>178</v>
      </c>
      <c r="D730" s="5">
        <v>45391</v>
      </c>
      <c r="E730">
        <v>20</v>
      </c>
      <c r="F730" t="s">
        <v>105</v>
      </c>
    </row>
    <row r="731" spans="1:6" x14ac:dyDescent="0.3">
      <c r="A731">
        <v>1730</v>
      </c>
      <c r="B731">
        <v>508</v>
      </c>
      <c r="C731" t="s">
        <v>175</v>
      </c>
      <c r="D731" s="5">
        <v>45334</v>
      </c>
      <c r="E731">
        <v>7</v>
      </c>
      <c r="F731" t="s">
        <v>105</v>
      </c>
    </row>
    <row r="732" spans="1:6" x14ac:dyDescent="0.3">
      <c r="A732">
        <v>1731</v>
      </c>
      <c r="B732">
        <v>526</v>
      </c>
      <c r="C732" t="s">
        <v>162</v>
      </c>
      <c r="D732" s="5">
        <v>45391</v>
      </c>
      <c r="E732">
        <v>5</v>
      </c>
      <c r="F732" t="s">
        <v>164</v>
      </c>
    </row>
    <row r="733" spans="1:6" x14ac:dyDescent="0.3">
      <c r="A733">
        <v>1732</v>
      </c>
      <c r="B733">
        <v>563</v>
      </c>
      <c r="C733" t="s">
        <v>73</v>
      </c>
      <c r="D733" s="5">
        <v>45355</v>
      </c>
      <c r="E733">
        <v>19</v>
      </c>
      <c r="F733" t="s">
        <v>105</v>
      </c>
    </row>
    <row r="734" spans="1:6" x14ac:dyDescent="0.3">
      <c r="A734">
        <v>1733</v>
      </c>
      <c r="B734">
        <v>681</v>
      </c>
      <c r="C734" t="s">
        <v>129</v>
      </c>
      <c r="D734" s="5">
        <v>45475</v>
      </c>
      <c r="E734">
        <v>7</v>
      </c>
      <c r="F734" t="s">
        <v>131</v>
      </c>
    </row>
    <row r="735" spans="1:6" x14ac:dyDescent="0.3">
      <c r="A735">
        <v>1734</v>
      </c>
      <c r="B735">
        <v>543</v>
      </c>
      <c r="C735" t="s">
        <v>175</v>
      </c>
      <c r="D735" s="5">
        <v>45399</v>
      </c>
      <c r="E735">
        <v>5</v>
      </c>
      <c r="F735" t="s">
        <v>105</v>
      </c>
    </row>
    <row r="736" spans="1:6" x14ac:dyDescent="0.3">
      <c r="A736">
        <v>1735</v>
      </c>
      <c r="B736">
        <v>575</v>
      </c>
      <c r="C736" t="s">
        <v>166</v>
      </c>
      <c r="D736" s="5">
        <v>45551</v>
      </c>
      <c r="E736">
        <v>10</v>
      </c>
      <c r="F736" t="s">
        <v>40</v>
      </c>
    </row>
    <row r="737" spans="1:6" x14ac:dyDescent="0.3">
      <c r="A737">
        <v>1736</v>
      </c>
      <c r="B737">
        <v>559</v>
      </c>
      <c r="C737" t="s">
        <v>175</v>
      </c>
      <c r="D737" s="5">
        <v>45574</v>
      </c>
      <c r="E737">
        <v>15</v>
      </c>
      <c r="F737" t="s">
        <v>105</v>
      </c>
    </row>
    <row r="738" spans="1:6" x14ac:dyDescent="0.3">
      <c r="A738">
        <v>1737</v>
      </c>
      <c r="B738">
        <v>689</v>
      </c>
      <c r="C738" t="s">
        <v>7</v>
      </c>
      <c r="D738" s="5">
        <v>45348</v>
      </c>
      <c r="E738">
        <v>1</v>
      </c>
      <c r="F738" t="s">
        <v>41</v>
      </c>
    </row>
    <row r="739" spans="1:6" x14ac:dyDescent="0.3">
      <c r="A739">
        <v>1738</v>
      </c>
      <c r="B739">
        <v>594</v>
      </c>
      <c r="C739" t="s">
        <v>181</v>
      </c>
      <c r="D739" s="5">
        <v>45412</v>
      </c>
      <c r="E739">
        <v>1</v>
      </c>
      <c r="F739" t="s">
        <v>164</v>
      </c>
    </row>
    <row r="740" spans="1:6" x14ac:dyDescent="0.3">
      <c r="A740">
        <v>1739</v>
      </c>
      <c r="B740">
        <v>532</v>
      </c>
      <c r="C740" t="s">
        <v>10</v>
      </c>
      <c r="D740" s="5">
        <v>45440</v>
      </c>
      <c r="E740">
        <v>17</v>
      </c>
      <c r="F740" t="s">
        <v>44</v>
      </c>
    </row>
    <row r="741" spans="1:6" x14ac:dyDescent="0.3">
      <c r="A741">
        <v>1740</v>
      </c>
      <c r="B741">
        <v>533</v>
      </c>
      <c r="C741" t="s">
        <v>114</v>
      </c>
      <c r="D741" s="5">
        <v>45450</v>
      </c>
      <c r="E741">
        <v>14</v>
      </c>
      <c r="F741" t="s">
        <v>40</v>
      </c>
    </row>
    <row r="742" spans="1:6" x14ac:dyDescent="0.3">
      <c r="A742">
        <v>1741</v>
      </c>
      <c r="B742">
        <v>594</v>
      </c>
      <c r="C742" t="s">
        <v>166</v>
      </c>
      <c r="D742" s="5">
        <v>45427</v>
      </c>
      <c r="E742">
        <v>19</v>
      </c>
      <c r="F742" t="s">
        <v>40</v>
      </c>
    </row>
    <row r="743" spans="1:6" x14ac:dyDescent="0.3">
      <c r="A743">
        <v>1742</v>
      </c>
      <c r="B743">
        <v>690</v>
      </c>
      <c r="C743" t="s">
        <v>6</v>
      </c>
      <c r="D743" s="5">
        <v>45562</v>
      </c>
      <c r="E743">
        <v>1</v>
      </c>
      <c r="F743" t="s">
        <v>40</v>
      </c>
    </row>
    <row r="744" spans="1:6" x14ac:dyDescent="0.3">
      <c r="A744">
        <v>1743</v>
      </c>
      <c r="B744">
        <v>541</v>
      </c>
      <c r="C744" t="s">
        <v>184</v>
      </c>
      <c r="D744" s="5">
        <v>45608</v>
      </c>
      <c r="E744">
        <v>10</v>
      </c>
      <c r="F744" t="s">
        <v>131</v>
      </c>
    </row>
    <row r="745" spans="1:6" x14ac:dyDescent="0.3">
      <c r="A745">
        <v>1744</v>
      </c>
      <c r="B745">
        <v>504</v>
      </c>
      <c r="C745" t="s">
        <v>184</v>
      </c>
      <c r="D745" s="5">
        <v>45632</v>
      </c>
      <c r="E745">
        <v>16</v>
      </c>
      <c r="F745" t="s">
        <v>131</v>
      </c>
    </row>
    <row r="746" spans="1:6" x14ac:dyDescent="0.3">
      <c r="A746">
        <v>1745</v>
      </c>
      <c r="B746">
        <v>638</v>
      </c>
      <c r="C746" t="s">
        <v>156</v>
      </c>
      <c r="D746" s="5">
        <v>45344</v>
      </c>
      <c r="E746">
        <v>4</v>
      </c>
      <c r="F746" t="s">
        <v>112</v>
      </c>
    </row>
    <row r="747" spans="1:6" x14ac:dyDescent="0.3">
      <c r="A747">
        <v>1746</v>
      </c>
      <c r="B747">
        <v>687</v>
      </c>
      <c r="C747" t="s">
        <v>175</v>
      </c>
      <c r="D747" s="5">
        <v>45380</v>
      </c>
      <c r="E747">
        <v>12</v>
      </c>
      <c r="F747" t="s">
        <v>105</v>
      </c>
    </row>
    <row r="748" spans="1:6" x14ac:dyDescent="0.3">
      <c r="A748">
        <v>1747</v>
      </c>
      <c r="B748">
        <v>514</v>
      </c>
      <c r="C748" t="s">
        <v>169</v>
      </c>
      <c r="D748" s="5">
        <v>45449</v>
      </c>
      <c r="E748">
        <v>5</v>
      </c>
      <c r="F748" t="s">
        <v>171</v>
      </c>
    </row>
    <row r="749" spans="1:6" x14ac:dyDescent="0.3">
      <c r="A749">
        <v>1748</v>
      </c>
      <c r="B749">
        <v>536</v>
      </c>
      <c r="C749" t="s">
        <v>10</v>
      </c>
      <c r="D749" s="5">
        <v>45474</v>
      </c>
      <c r="E749">
        <v>18</v>
      </c>
      <c r="F749" t="s">
        <v>44</v>
      </c>
    </row>
    <row r="750" spans="1:6" x14ac:dyDescent="0.3">
      <c r="A750">
        <v>1749</v>
      </c>
      <c r="B750">
        <v>616</v>
      </c>
      <c r="C750" t="s">
        <v>10</v>
      </c>
      <c r="D750" s="5">
        <v>45341</v>
      </c>
      <c r="E750">
        <v>18</v>
      </c>
      <c r="F750" t="s">
        <v>44</v>
      </c>
    </row>
    <row r="751" spans="1:6" x14ac:dyDescent="0.3">
      <c r="A751">
        <v>1750</v>
      </c>
      <c r="B751">
        <v>529</v>
      </c>
      <c r="C751" t="s">
        <v>9</v>
      </c>
      <c r="D751" s="5">
        <v>45615</v>
      </c>
      <c r="E751">
        <v>12</v>
      </c>
      <c r="F751" t="s">
        <v>43</v>
      </c>
    </row>
    <row r="752" spans="1:6" x14ac:dyDescent="0.3">
      <c r="A752">
        <v>1751</v>
      </c>
      <c r="B752">
        <v>632</v>
      </c>
      <c r="C752" t="s">
        <v>133</v>
      </c>
      <c r="D752" s="5">
        <v>45482</v>
      </c>
      <c r="E752">
        <v>2</v>
      </c>
      <c r="F752" t="s">
        <v>135</v>
      </c>
    </row>
    <row r="753" spans="1:6" x14ac:dyDescent="0.3">
      <c r="A753">
        <v>1752</v>
      </c>
      <c r="B753">
        <v>521</v>
      </c>
      <c r="C753" t="s">
        <v>150</v>
      </c>
      <c r="D753" s="5">
        <v>45646</v>
      </c>
      <c r="E753">
        <v>17</v>
      </c>
      <c r="F753" t="s">
        <v>152</v>
      </c>
    </row>
    <row r="754" spans="1:6" x14ac:dyDescent="0.3">
      <c r="A754">
        <v>1753</v>
      </c>
      <c r="B754">
        <v>619</v>
      </c>
      <c r="C754" t="s">
        <v>184</v>
      </c>
      <c r="D754" s="5">
        <v>45454</v>
      </c>
      <c r="E754">
        <v>13</v>
      </c>
      <c r="F754" t="s">
        <v>131</v>
      </c>
    </row>
    <row r="755" spans="1:6" x14ac:dyDescent="0.3">
      <c r="A755">
        <v>1754</v>
      </c>
      <c r="B755">
        <v>588</v>
      </c>
      <c r="C755" t="s">
        <v>156</v>
      </c>
      <c r="D755" s="5">
        <v>45393</v>
      </c>
      <c r="E755">
        <v>10</v>
      </c>
      <c r="F755" t="s">
        <v>112</v>
      </c>
    </row>
    <row r="756" spans="1:6" x14ac:dyDescent="0.3">
      <c r="A756">
        <v>1755</v>
      </c>
      <c r="B756">
        <v>743</v>
      </c>
      <c r="C756" t="s">
        <v>166</v>
      </c>
      <c r="D756" s="5">
        <v>45403</v>
      </c>
      <c r="E756">
        <v>7</v>
      </c>
      <c r="F756" t="s">
        <v>40</v>
      </c>
    </row>
    <row r="757" spans="1:6" x14ac:dyDescent="0.3">
      <c r="A757">
        <v>1756</v>
      </c>
      <c r="B757">
        <v>668</v>
      </c>
      <c r="C757" t="s">
        <v>117</v>
      </c>
      <c r="D757" s="5">
        <v>45320</v>
      </c>
      <c r="E757">
        <v>11</v>
      </c>
      <c r="F757" t="s">
        <v>119</v>
      </c>
    </row>
    <row r="758" spans="1:6" x14ac:dyDescent="0.3">
      <c r="A758">
        <v>1757</v>
      </c>
      <c r="B758">
        <v>740</v>
      </c>
      <c r="C758" t="s">
        <v>72</v>
      </c>
      <c r="D758" s="5">
        <v>45521</v>
      </c>
      <c r="E758">
        <v>1</v>
      </c>
      <c r="F758" t="s">
        <v>41</v>
      </c>
    </row>
    <row r="759" spans="1:6" x14ac:dyDescent="0.3">
      <c r="A759">
        <v>1758</v>
      </c>
      <c r="B759">
        <v>629</v>
      </c>
      <c r="C759" t="s">
        <v>169</v>
      </c>
      <c r="D759" s="5">
        <v>45426</v>
      </c>
      <c r="E759">
        <v>11</v>
      </c>
      <c r="F759" t="s">
        <v>171</v>
      </c>
    </row>
    <row r="760" spans="1:6" x14ac:dyDescent="0.3">
      <c r="A760">
        <v>1759</v>
      </c>
      <c r="B760">
        <v>564</v>
      </c>
      <c r="C760" t="s">
        <v>169</v>
      </c>
      <c r="D760" s="5">
        <v>45639</v>
      </c>
      <c r="E760">
        <v>15</v>
      </c>
      <c r="F760" t="s">
        <v>171</v>
      </c>
    </row>
    <row r="761" spans="1:6" x14ac:dyDescent="0.3">
      <c r="A761">
        <v>1760</v>
      </c>
      <c r="B761">
        <v>674</v>
      </c>
      <c r="C761" t="s">
        <v>169</v>
      </c>
      <c r="D761" s="5">
        <v>45523</v>
      </c>
      <c r="E761">
        <v>16</v>
      </c>
      <c r="F761" t="s">
        <v>171</v>
      </c>
    </row>
    <row r="762" spans="1:6" x14ac:dyDescent="0.3">
      <c r="A762">
        <v>1761</v>
      </c>
      <c r="B762">
        <v>727</v>
      </c>
      <c r="C762" t="s">
        <v>148</v>
      </c>
      <c r="D762" s="5">
        <v>45512</v>
      </c>
      <c r="E762">
        <v>8</v>
      </c>
      <c r="F762" t="s">
        <v>105</v>
      </c>
    </row>
    <row r="763" spans="1:6" x14ac:dyDescent="0.3">
      <c r="A763">
        <v>1762</v>
      </c>
      <c r="B763">
        <v>560</v>
      </c>
      <c r="C763" t="s">
        <v>166</v>
      </c>
      <c r="D763" s="5">
        <v>45423</v>
      </c>
      <c r="E763">
        <v>19</v>
      </c>
      <c r="F763" t="s">
        <v>40</v>
      </c>
    </row>
    <row r="764" spans="1:6" x14ac:dyDescent="0.3">
      <c r="A764">
        <v>1763</v>
      </c>
      <c r="B764">
        <v>560</v>
      </c>
      <c r="C764" t="s">
        <v>9</v>
      </c>
      <c r="D764" s="5">
        <v>45415</v>
      </c>
      <c r="E764">
        <v>6</v>
      </c>
      <c r="F764" t="s">
        <v>43</v>
      </c>
    </row>
    <row r="765" spans="1:6" x14ac:dyDescent="0.3">
      <c r="A765">
        <v>1764</v>
      </c>
      <c r="B765">
        <v>620</v>
      </c>
      <c r="C765" t="s">
        <v>114</v>
      </c>
      <c r="D765" s="5">
        <v>45612</v>
      </c>
      <c r="E765">
        <v>7</v>
      </c>
      <c r="F765" t="s">
        <v>40</v>
      </c>
    </row>
    <row r="766" spans="1:6" x14ac:dyDescent="0.3">
      <c r="A766">
        <v>1765</v>
      </c>
      <c r="B766">
        <v>507</v>
      </c>
      <c r="C766" t="s">
        <v>154</v>
      </c>
      <c r="D766" s="5">
        <v>45556</v>
      </c>
      <c r="E766">
        <v>16</v>
      </c>
      <c r="F766" t="s">
        <v>152</v>
      </c>
    </row>
    <row r="767" spans="1:6" x14ac:dyDescent="0.3">
      <c r="A767">
        <v>1766</v>
      </c>
      <c r="B767">
        <v>658</v>
      </c>
      <c r="C767" t="s">
        <v>158</v>
      </c>
      <c r="D767" s="5">
        <v>45416</v>
      </c>
      <c r="E767">
        <v>9</v>
      </c>
      <c r="F767" t="s">
        <v>112</v>
      </c>
    </row>
    <row r="768" spans="1:6" x14ac:dyDescent="0.3">
      <c r="A768">
        <v>1767</v>
      </c>
      <c r="B768">
        <v>636</v>
      </c>
      <c r="C768" t="s">
        <v>142</v>
      </c>
      <c r="D768" s="5">
        <v>45653</v>
      </c>
      <c r="E768">
        <v>8</v>
      </c>
      <c r="F768" t="s">
        <v>43</v>
      </c>
    </row>
    <row r="769" spans="1:6" x14ac:dyDescent="0.3">
      <c r="A769">
        <v>1768</v>
      </c>
      <c r="B769">
        <v>740</v>
      </c>
      <c r="C769" t="s">
        <v>154</v>
      </c>
      <c r="D769" s="5">
        <v>45509</v>
      </c>
      <c r="E769">
        <v>14</v>
      </c>
      <c r="F769" t="s">
        <v>152</v>
      </c>
    </row>
    <row r="770" spans="1:6" x14ac:dyDescent="0.3">
      <c r="A770">
        <v>1769</v>
      </c>
      <c r="B770">
        <v>550</v>
      </c>
      <c r="C770" t="s">
        <v>184</v>
      </c>
      <c r="D770" s="5">
        <v>45486</v>
      </c>
      <c r="E770">
        <v>13</v>
      </c>
      <c r="F770" t="s">
        <v>131</v>
      </c>
    </row>
    <row r="771" spans="1:6" x14ac:dyDescent="0.3">
      <c r="A771">
        <v>1770</v>
      </c>
      <c r="B771">
        <v>628</v>
      </c>
      <c r="C771" t="s">
        <v>6</v>
      </c>
      <c r="D771" s="5">
        <v>45407</v>
      </c>
      <c r="E771">
        <v>13</v>
      </c>
      <c r="F771" t="s">
        <v>40</v>
      </c>
    </row>
    <row r="772" spans="1:6" x14ac:dyDescent="0.3">
      <c r="A772">
        <v>1771</v>
      </c>
      <c r="B772">
        <v>606</v>
      </c>
      <c r="C772" t="s">
        <v>173</v>
      </c>
      <c r="D772" s="5">
        <v>45481</v>
      </c>
      <c r="E772">
        <v>18</v>
      </c>
      <c r="F772" t="s">
        <v>135</v>
      </c>
    </row>
    <row r="773" spans="1:6" x14ac:dyDescent="0.3">
      <c r="A773">
        <v>1772</v>
      </c>
      <c r="B773">
        <v>740</v>
      </c>
      <c r="C773" t="s">
        <v>117</v>
      </c>
      <c r="D773" s="5">
        <v>45402</v>
      </c>
      <c r="E773">
        <v>12</v>
      </c>
      <c r="F773" t="s">
        <v>119</v>
      </c>
    </row>
    <row r="774" spans="1:6" x14ac:dyDescent="0.3">
      <c r="A774">
        <v>1773</v>
      </c>
      <c r="B774">
        <v>689</v>
      </c>
      <c r="C774" t="s">
        <v>145</v>
      </c>
      <c r="D774" s="5">
        <v>45492</v>
      </c>
      <c r="E774">
        <v>15</v>
      </c>
      <c r="F774" t="s">
        <v>135</v>
      </c>
    </row>
    <row r="775" spans="1:6" x14ac:dyDescent="0.3">
      <c r="A775">
        <v>1774</v>
      </c>
      <c r="B775">
        <v>669</v>
      </c>
      <c r="C775" t="s">
        <v>133</v>
      </c>
      <c r="D775" s="5">
        <v>45461</v>
      </c>
      <c r="E775">
        <v>7</v>
      </c>
      <c r="F775" t="s">
        <v>135</v>
      </c>
    </row>
    <row r="776" spans="1:6" x14ac:dyDescent="0.3">
      <c r="A776">
        <v>1775</v>
      </c>
      <c r="B776">
        <v>709</v>
      </c>
      <c r="C776" t="s">
        <v>173</v>
      </c>
      <c r="D776" s="5">
        <v>45643</v>
      </c>
      <c r="E776">
        <v>10</v>
      </c>
      <c r="F776" t="s">
        <v>135</v>
      </c>
    </row>
    <row r="777" spans="1:6" x14ac:dyDescent="0.3">
      <c r="A777">
        <v>1776</v>
      </c>
      <c r="B777">
        <v>664</v>
      </c>
      <c r="C777" t="s">
        <v>169</v>
      </c>
      <c r="D777" s="5">
        <v>45523</v>
      </c>
      <c r="E777">
        <v>15</v>
      </c>
      <c r="F777" t="s">
        <v>171</v>
      </c>
    </row>
    <row r="778" spans="1:6" x14ac:dyDescent="0.3">
      <c r="A778">
        <v>1777</v>
      </c>
      <c r="B778">
        <v>518</v>
      </c>
      <c r="C778" t="s">
        <v>9</v>
      </c>
      <c r="D778" s="5">
        <v>45509</v>
      </c>
      <c r="E778">
        <v>17</v>
      </c>
      <c r="F778" t="s">
        <v>43</v>
      </c>
    </row>
    <row r="779" spans="1:6" x14ac:dyDescent="0.3">
      <c r="A779">
        <v>1778</v>
      </c>
      <c r="B779">
        <v>683</v>
      </c>
      <c r="C779" t="s">
        <v>166</v>
      </c>
      <c r="D779" s="5">
        <v>45569</v>
      </c>
      <c r="E779">
        <v>6</v>
      </c>
      <c r="F779" t="s">
        <v>40</v>
      </c>
    </row>
    <row r="780" spans="1:6" x14ac:dyDescent="0.3">
      <c r="A780">
        <v>1779</v>
      </c>
      <c r="B780">
        <v>527</v>
      </c>
      <c r="C780" t="s">
        <v>137</v>
      </c>
      <c r="D780" s="5">
        <v>45582</v>
      </c>
      <c r="E780">
        <v>13</v>
      </c>
      <c r="F780" t="s">
        <v>135</v>
      </c>
    </row>
    <row r="781" spans="1:6" x14ac:dyDescent="0.3">
      <c r="A781">
        <v>1780</v>
      </c>
      <c r="B781">
        <v>533</v>
      </c>
      <c r="C781" t="s">
        <v>175</v>
      </c>
      <c r="D781" s="5">
        <v>45413</v>
      </c>
      <c r="E781">
        <v>4</v>
      </c>
      <c r="F781" t="s">
        <v>105</v>
      </c>
    </row>
    <row r="782" spans="1:6" x14ac:dyDescent="0.3">
      <c r="A782">
        <v>1781</v>
      </c>
      <c r="B782">
        <v>750</v>
      </c>
      <c r="C782" t="s">
        <v>175</v>
      </c>
      <c r="D782" s="5">
        <v>45377</v>
      </c>
      <c r="E782">
        <v>18</v>
      </c>
      <c r="F782" t="s">
        <v>105</v>
      </c>
    </row>
    <row r="783" spans="1:6" x14ac:dyDescent="0.3">
      <c r="A783">
        <v>1782</v>
      </c>
      <c r="B783">
        <v>689</v>
      </c>
      <c r="C783" t="s">
        <v>123</v>
      </c>
      <c r="D783" s="5">
        <v>45299</v>
      </c>
      <c r="E783">
        <v>6</v>
      </c>
      <c r="F783" t="s">
        <v>112</v>
      </c>
    </row>
    <row r="784" spans="1:6" x14ac:dyDescent="0.3">
      <c r="A784">
        <v>1783</v>
      </c>
      <c r="B784">
        <v>711</v>
      </c>
      <c r="C784" t="s">
        <v>8</v>
      </c>
      <c r="D784" s="5">
        <v>45473</v>
      </c>
      <c r="E784">
        <v>15</v>
      </c>
      <c r="F784" t="s">
        <v>42</v>
      </c>
    </row>
    <row r="785" spans="1:6" x14ac:dyDescent="0.3">
      <c r="A785">
        <v>1784</v>
      </c>
      <c r="B785">
        <v>645</v>
      </c>
      <c r="C785" t="s">
        <v>173</v>
      </c>
      <c r="D785" s="5">
        <v>45298</v>
      </c>
      <c r="E785">
        <v>8</v>
      </c>
      <c r="F785" t="s">
        <v>135</v>
      </c>
    </row>
    <row r="786" spans="1:6" x14ac:dyDescent="0.3">
      <c r="A786">
        <v>1785</v>
      </c>
      <c r="B786">
        <v>663</v>
      </c>
      <c r="C786" t="s">
        <v>169</v>
      </c>
      <c r="D786" s="5">
        <v>45348</v>
      </c>
      <c r="E786">
        <v>2</v>
      </c>
      <c r="F786" t="s">
        <v>171</v>
      </c>
    </row>
    <row r="787" spans="1:6" x14ac:dyDescent="0.3">
      <c r="A787">
        <v>1786</v>
      </c>
      <c r="B787">
        <v>696</v>
      </c>
      <c r="C787" t="s">
        <v>72</v>
      </c>
      <c r="D787" s="5">
        <v>45602</v>
      </c>
      <c r="E787">
        <v>12</v>
      </c>
      <c r="F787" t="s">
        <v>41</v>
      </c>
    </row>
    <row r="788" spans="1:6" x14ac:dyDescent="0.3">
      <c r="A788">
        <v>1787</v>
      </c>
      <c r="B788">
        <v>587</v>
      </c>
      <c r="C788" t="s">
        <v>114</v>
      </c>
      <c r="D788" s="5">
        <v>45621</v>
      </c>
      <c r="E788">
        <v>9</v>
      </c>
      <c r="F788" t="s">
        <v>40</v>
      </c>
    </row>
    <row r="789" spans="1:6" x14ac:dyDescent="0.3">
      <c r="A789">
        <v>1788</v>
      </c>
      <c r="B789">
        <v>727</v>
      </c>
      <c r="C789" t="s">
        <v>140</v>
      </c>
      <c r="D789" s="5">
        <v>45399</v>
      </c>
      <c r="E789">
        <v>11</v>
      </c>
      <c r="F789" t="s">
        <v>41</v>
      </c>
    </row>
    <row r="790" spans="1:6" x14ac:dyDescent="0.3">
      <c r="A790">
        <v>1789</v>
      </c>
      <c r="B790">
        <v>590</v>
      </c>
      <c r="C790" t="s">
        <v>126</v>
      </c>
      <c r="D790" s="5">
        <v>45522</v>
      </c>
      <c r="E790">
        <v>5</v>
      </c>
      <c r="F790" t="s">
        <v>42</v>
      </c>
    </row>
    <row r="791" spans="1:6" x14ac:dyDescent="0.3">
      <c r="A791">
        <v>1790</v>
      </c>
      <c r="B791">
        <v>581</v>
      </c>
      <c r="C791" t="s">
        <v>142</v>
      </c>
      <c r="D791" s="5">
        <v>45442</v>
      </c>
      <c r="E791">
        <v>9</v>
      </c>
      <c r="F791" t="s">
        <v>43</v>
      </c>
    </row>
    <row r="792" spans="1:6" x14ac:dyDescent="0.3">
      <c r="A792">
        <v>1791</v>
      </c>
      <c r="B792">
        <v>588</v>
      </c>
      <c r="C792" t="s">
        <v>73</v>
      </c>
      <c r="D792" s="5">
        <v>45355</v>
      </c>
      <c r="E792">
        <v>7</v>
      </c>
      <c r="F792" t="s">
        <v>105</v>
      </c>
    </row>
    <row r="793" spans="1:6" x14ac:dyDescent="0.3">
      <c r="A793">
        <v>1792</v>
      </c>
      <c r="B793">
        <v>645</v>
      </c>
      <c r="C793" t="s">
        <v>123</v>
      </c>
      <c r="D793" s="5">
        <v>45333</v>
      </c>
      <c r="E793">
        <v>3</v>
      </c>
      <c r="F793" t="s">
        <v>112</v>
      </c>
    </row>
    <row r="794" spans="1:6" x14ac:dyDescent="0.3">
      <c r="A794">
        <v>1793</v>
      </c>
      <c r="B794">
        <v>538</v>
      </c>
      <c r="C794" t="s">
        <v>129</v>
      </c>
      <c r="D794" s="5">
        <v>45412</v>
      </c>
      <c r="E794">
        <v>15</v>
      </c>
      <c r="F794" t="s">
        <v>131</v>
      </c>
    </row>
    <row r="795" spans="1:6" x14ac:dyDescent="0.3">
      <c r="A795">
        <v>1794</v>
      </c>
      <c r="B795">
        <v>708</v>
      </c>
      <c r="C795" t="s">
        <v>72</v>
      </c>
      <c r="D795" s="5">
        <v>45369</v>
      </c>
      <c r="E795">
        <v>19</v>
      </c>
      <c r="F795" t="s">
        <v>41</v>
      </c>
    </row>
    <row r="796" spans="1:6" x14ac:dyDescent="0.3">
      <c r="A796">
        <v>1795</v>
      </c>
      <c r="B796">
        <v>595</v>
      </c>
      <c r="C796" t="s">
        <v>117</v>
      </c>
      <c r="D796" s="5">
        <v>45544</v>
      </c>
      <c r="E796">
        <v>17</v>
      </c>
      <c r="F796" t="s">
        <v>119</v>
      </c>
    </row>
    <row r="797" spans="1:6" x14ac:dyDescent="0.3">
      <c r="A797">
        <v>1796</v>
      </c>
      <c r="B797">
        <v>593</v>
      </c>
      <c r="C797" t="s">
        <v>160</v>
      </c>
      <c r="D797" s="5">
        <v>45418</v>
      </c>
      <c r="E797">
        <v>19</v>
      </c>
      <c r="F797" t="s">
        <v>41</v>
      </c>
    </row>
    <row r="798" spans="1:6" x14ac:dyDescent="0.3">
      <c r="A798">
        <v>1797</v>
      </c>
      <c r="B798">
        <v>667</v>
      </c>
      <c r="C798" t="s">
        <v>72</v>
      </c>
      <c r="D798" s="5">
        <v>45635</v>
      </c>
      <c r="E798">
        <v>16</v>
      </c>
      <c r="F798" t="s">
        <v>41</v>
      </c>
    </row>
    <row r="799" spans="1:6" x14ac:dyDescent="0.3">
      <c r="A799">
        <v>1798</v>
      </c>
      <c r="B799">
        <v>550</v>
      </c>
      <c r="C799" t="s">
        <v>10</v>
      </c>
      <c r="D799" s="5">
        <v>45353</v>
      </c>
      <c r="E799">
        <v>13</v>
      </c>
      <c r="F799" t="s">
        <v>44</v>
      </c>
    </row>
    <row r="800" spans="1:6" x14ac:dyDescent="0.3">
      <c r="A800">
        <v>1799</v>
      </c>
      <c r="B800">
        <v>542</v>
      </c>
      <c r="C800" t="s">
        <v>160</v>
      </c>
      <c r="D800" s="5">
        <v>45497</v>
      </c>
      <c r="E800">
        <v>11</v>
      </c>
      <c r="F800" t="s">
        <v>41</v>
      </c>
    </row>
    <row r="801" spans="1:6" x14ac:dyDescent="0.3">
      <c r="A801">
        <v>1800</v>
      </c>
      <c r="B801">
        <v>543</v>
      </c>
      <c r="C801" t="s">
        <v>160</v>
      </c>
      <c r="D801" s="5">
        <v>45635</v>
      </c>
      <c r="E801">
        <v>2</v>
      </c>
      <c r="F801" t="s">
        <v>41</v>
      </c>
    </row>
    <row r="802" spans="1:6" x14ac:dyDescent="0.3">
      <c r="A802">
        <v>1801</v>
      </c>
      <c r="B802">
        <v>638</v>
      </c>
      <c r="C802" t="s">
        <v>73</v>
      </c>
      <c r="D802" s="5">
        <v>45394</v>
      </c>
      <c r="E802">
        <v>1</v>
      </c>
      <c r="F802" t="s">
        <v>105</v>
      </c>
    </row>
    <row r="803" spans="1:6" x14ac:dyDescent="0.3">
      <c r="A803">
        <v>1802</v>
      </c>
      <c r="B803">
        <v>599</v>
      </c>
      <c r="C803" t="s">
        <v>148</v>
      </c>
      <c r="D803" s="5">
        <v>45487</v>
      </c>
      <c r="E803">
        <v>5</v>
      </c>
      <c r="F803" t="s">
        <v>105</v>
      </c>
    </row>
    <row r="804" spans="1:6" x14ac:dyDescent="0.3">
      <c r="A804">
        <v>1803</v>
      </c>
      <c r="B804">
        <v>603</v>
      </c>
      <c r="C804" t="s">
        <v>169</v>
      </c>
      <c r="D804" s="5">
        <v>45424</v>
      </c>
      <c r="E804">
        <v>2</v>
      </c>
      <c r="F804" t="s">
        <v>171</v>
      </c>
    </row>
    <row r="805" spans="1:6" x14ac:dyDescent="0.3">
      <c r="A805">
        <v>1804</v>
      </c>
      <c r="B805">
        <v>685</v>
      </c>
      <c r="C805" t="s">
        <v>184</v>
      </c>
      <c r="D805" s="5">
        <v>45460</v>
      </c>
      <c r="E805">
        <v>15</v>
      </c>
      <c r="F805" t="s">
        <v>131</v>
      </c>
    </row>
    <row r="806" spans="1:6" x14ac:dyDescent="0.3">
      <c r="A806">
        <v>1805</v>
      </c>
      <c r="B806">
        <v>513</v>
      </c>
      <c r="C806" t="s">
        <v>121</v>
      </c>
      <c r="D806" s="5">
        <v>45418</v>
      </c>
      <c r="E806">
        <v>20</v>
      </c>
      <c r="F806" t="s">
        <v>105</v>
      </c>
    </row>
    <row r="807" spans="1:6" x14ac:dyDescent="0.3">
      <c r="A807">
        <v>1806</v>
      </c>
      <c r="B807">
        <v>585</v>
      </c>
      <c r="C807" t="s">
        <v>126</v>
      </c>
      <c r="D807" s="5">
        <v>45639</v>
      </c>
      <c r="E807">
        <v>10</v>
      </c>
      <c r="F807" t="s">
        <v>42</v>
      </c>
    </row>
    <row r="808" spans="1:6" x14ac:dyDescent="0.3">
      <c r="A808">
        <v>1807</v>
      </c>
      <c r="B808">
        <v>589</v>
      </c>
      <c r="C808" t="s">
        <v>158</v>
      </c>
      <c r="D808" s="5">
        <v>45645</v>
      </c>
      <c r="E808">
        <v>1</v>
      </c>
      <c r="F808" t="s">
        <v>112</v>
      </c>
    </row>
    <row r="809" spans="1:6" x14ac:dyDescent="0.3">
      <c r="A809">
        <v>1808</v>
      </c>
      <c r="B809">
        <v>733</v>
      </c>
      <c r="C809" t="s">
        <v>140</v>
      </c>
      <c r="D809" s="5">
        <v>45343</v>
      </c>
      <c r="E809">
        <v>7</v>
      </c>
      <c r="F809" t="s">
        <v>41</v>
      </c>
    </row>
    <row r="810" spans="1:6" x14ac:dyDescent="0.3">
      <c r="A810">
        <v>1809</v>
      </c>
      <c r="B810">
        <v>748</v>
      </c>
      <c r="C810" t="s">
        <v>6</v>
      </c>
      <c r="D810" s="5">
        <v>45625</v>
      </c>
      <c r="E810">
        <v>19</v>
      </c>
      <c r="F810" t="s">
        <v>40</v>
      </c>
    </row>
    <row r="811" spans="1:6" x14ac:dyDescent="0.3">
      <c r="A811">
        <v>1810</v>
      </c>
      <c r="B811">
        <v>582</v>
      </c>
      <c r="C811" t="s">
        <v>11</v>
      </c>
      <c r="D811" s="5">
        <v>45568</v>
      </c>
      <c r="E811">
        <v>20</v>
      </c>
      <c r="F811" t="s">
        <v>105</v>
      </c>
    </row>
    <row r="812" spans="1:6" x14ac:dyDescent="0.3">
      <c r="A812">
        <v>1811</v>
      </c>
      <c r="B812">
        <v>620</v>
      </c>
      <c r="C812" t="s">
        <v>114</v>
      </c>
      <c r="D812" s="5">
        <v>45486</v>
      </c>
      <c r="E812">
        <v>6</v>
      </c>
      <c r="F812" t="s">
        <v>40</v>
      </c>
    </row>
    <row r="813" spans="1:6" x14ac:dyDescent="0.3">
      <c r="A813">
        <v>1812</v>
      </c>
      <c r="B813">
        <v>569</v>
      </c>
      <c r="C813" t="s">
        <v>173</v>
      </c>
      <c r="D813" s="5">
        <v>45392</v>
      </c>
      <c r="E813">
        <v>6</v>
      </c>
      <c r="F813" t="s">
        <v>135</v>
      </c>
    </row>
    <row r="814" spans="1:6" x14ac:dyDescent="0.3">
      <c r="A814">
        <v>1813</v>
      </c>
      <c r="B814">
        <v>734</v>
      </c>
      <c r="C814" t="s">
        <v>150</v>
      </c>
      <c r="D814" s="5">
        <v>45599</v>
      </c>
      <c r="E814">
        <v>8</v>
      </c>
      <c r="F814" t="s">
        <v>152</v>
      </c>
    </row>
    <row r="815" spans="1:6" x14ac:dyDescent="0.3">
      <c r="A815">
        <v>1814</v>
      </c>
      <c r="B815">
        <v>545</v>
      </c>
      <c r="C815" t="s">
        <v>142</v>
      </c>
      <c r="D815" s="5">
        <v>45608</v>
      </c>
      <c r="E815">
        <v>12</v>
      </c>
      <c r="F815" t="s">
        <v>43</v>
      </c>
    </row>
    <row r="816" spans="1:6" x14ac:dyDescent="0.3">
      <c r="A816">
        <v>1815</v>
      </c>
      <c r="B816">
        <v>749</v>
      </c>
      <c r="C816" t="s">
        <v>140</v>
      </c>
      <c r="D816" s="5">
        <v>45544</v>
      </c>
      <c r="E816">
        <v>9</v>
      </c>
      <c r="F816" t="s">
        <v>41</v>
      </c>
    </row>
    <row r="817" spans="1:6" x14ac:dyDescent="0.3">
      <c r="A817">
        <v>1816</v>
      </c>
      <c r="B817">
        <v>747</v>
      </c>
      <c r="C817" t="s">
        <v>137</v>
      </c>
      <c r="D817" s="5">
        <v>45552</v>
      </c>
      <c r="E817">
        <v>12</v>
      </c>
      <c r="F817" t="s">
        <v>135</v>
      </c>
    </row>
    <row r="818" spans="1:6" x14ac:dyDescent="0.3">
      <c r="A818">
        <v>1817</v>
      </c>
      <c r="B818">
        <v>692</v>
      </c>
      <c r="C818" t="s">
        <v>133</v>
      </c>
      <c r="D818" s="5">
        <v>45533</v>
      </c>
      <c r="E818">
        <v>11</v>
      </c>
      <c r="F818" t="s">
        <v>135</v>
      </c>
    </row>
    <row r="819" spans="1:6" x14ac:dyDescent="0.3">
      <c r="A819">
        <v>1818</v>
      </c>
      <c r="B819">
        <v>594</v>
      </c>
      <c r="C819" t="s">
        <v>148</v>
      </c>
      <c r="D819" s="5">
        <v>45601</v>
      </c>
      <c r="E819">
        <v>2</v>
      </c>
      <c r="F819" t="s">
        <v>105</v>
      </c>
    </row>
    <row r="820" spans="1:6" x14ac:dyDescent="0.3">
      <c r="A820">
        <v>1819</v>
      </c>
      <c r="B820">
        <v>579</v>
      </c>
      <c r="C820" t="s">
        <v>117</v>
      </c>
      <c r="D820" s="5">
        <v>45576</v>
      </c>
      <c r="E820">
        <v>6</v>
      </c>
      <c r="F820" t="s">
        <v>119</v>
      </c>
    </row>
    <row r="821" spans="1:6" x14ac:dyDescent="0.3">
      <c r="A821">
        <v>1820</v>
      </c>
      <c r="B821">
        <v>730</v>
      </c>
      <c r="C821" t="s">
        <v>178</v>
      </c>
      <c r="D821" s="5">
        <v>45377</v>
      </c>
      <c r="E821">
        <v>19</v>
      </c>
      <c r="F821" t="s">
        <v>105</v>
      </c>
    </row>
    <row r="822" spans="1:6" x14ac:dyDescent="0.3">
      <c r="A822">
        <v>1821</v>
      </c>
      <c r="B822">
        <v>554</v>
      </c>
      <c r="C822" t="s">
        <v>145</v>
      </c>
      <c r="D822" s="5">
        <v>45395</v>
      </c>
      <c r="E822">
        <v>5</v>
      </c>
      <c r="F822" t="s">
        <v>135</v>
      </c>
    </row>
    <row r="823" spans="1:6" x14ac:dyDescent="0.3">
      <c r="A823">
        <v>1822</v>
      </c>
      <c r="B823">
        <v>640</v>
      </c>
      <c r="C823" t="s">
        <v>169</v>
      </c>
      <c r="D823" s="5">
        <v>45451</v>
      </c>
      <c r="E823">
        <v>4</v>
      </c>
      <c r="F823" t="s">
        <v>171</v>
      </c>
    </row>
    <row r="824" spans="1:6" x14ac:dyDescent="0.3">
      <c r="A824">
        <v>1823</v>
      </c>
      <c r="B824">
        <v>528</v>
      </c>
      <c r="C824" t="s">
        <v>184</v>
      </c>
      <c r="D824" s="5">
        <v>45546</v>
      </c>
      <c r="E824">
        <v>15</v>
      </c>
      <c r="F824" t="s">
        <v>131</v>
      </c>
    </row>
    <row r="825" spans="1:6" x14ac:dyDescent="0.3">
      <c r="A825">
        <v>1824</v>
      </c>
      <c r="B825">
        <v>704</v>
      </c>
      <c r="C825" t="s">
        <v>160</v>
      </c>
      <c r="D825" s="5">
        <v>45480</v>
      </c>
      <c r="E825">
        <v>17</v>
      </c>
      <c r="F825" t="s">
        <v>41</v>
      </c>
    </row>
    <row r="826" spans="1:6" x14ac:dyDescent="0.3">
      <c r="A826">
        <v>1825</v>
      </c>
      <c r="B826">
        <v>691</v>
      </c>
      <c r="C826" t="s">
        <v>10</v>
      </c>
      <c r="D826" s="5">
        <v>45294</v>
      </c>
      <c r="E826">
        <v>10</v>
      </c>
      <c r="F826" t="s">
        <v>44</v>
      </c>
    </row>
    <row r="827" spans="1:6" x14ac:dyDescent="0.3">
      <c r="A827">
        <v>1826</v>
      </c>
      <c r="B827">
        <v>700</v>
      </c>
      <c r="C827" t="s">
        <v>173</v>
      </c>
      <c r="D827" s="5">
        <v>45370</v>
      </c>
      <c r="E827">
        <v>19</v>
      </c>
      <c r="F827" t="s">
        <v>135</v>
      </c>
    </row>
    <row r="828" spans="1:6" x14ac:dyDescent="0.3">
      <c r="A828">
        <v>1827</v>
      </c>
      <c r="B828">
        <v>513</v>
      </c>
      <c r="C828" t="s">
        <v>121</v>
      </c>
      <c r="D828" s="5">
        <v>45616</v>
      </c>
      <c r="E828">
        <v>19</v>
      </c>
      <c r="F828" t="s">
        <v>105</v>
      </c>
    </row>
    <row r="829" spans="1:6" x14ac:dyDescent="0.3">
      <c r="A829">
        <v>1828</v>
      </c>
      <c r="B829">
        <v>614</v>
      </c>
      <c r="C829" t="s">
        <v>8</v>
      </c>
      <c r="D829" s="5">
        <v>45500</v>
      </c>
      <c r="E829">
        <v>3</v>
      </c>
      <c r="F829" t="s">
        <v>42</v>
      </c>
    </row>
    <row r="830" spans="1:6" x14ac:dyDescent="0.3">
      <c r="A830">
        <v>1829</v>
      </c>
      <c r="B830">
        <v>554</v>
      </c>
      <c r="C830" t="s">
        <v>7</v>
      </c>
      <c r="D830" s="5">
        <v>45325</v>
      </c>
      <c r="E830">
        <v>11</v>
      </c>
      <c r="F830" t="s">
        <v>41</v>
      </c>
    </row>
    <row r="831" spans="1:6" x14ac:dyDescent="0.3">
      <c r="A831">
        <v>1830</v>
      </c>
      <c r="B831">
        <v>672</v>
      </c>
      <c r="C831" t="s">
        <v>110</v>
      </c>
      <c r="D831" s="5">
        <v>45516</v>
      </c>
      <c r="E831">
        <v>6</v>
      </c>
      <c r="F831" t="s">
        <v>112</v>
      </c>
    </row>
    <row r="832" spans="1:6" x14ac:dyDescent="0.3">
      <c r="A832">
        <v>1831</v>
      </c>
      <c r="B832">
        <v>671</v>
      </c>
      <c r="C832" t="s">
        <v>73</v>
      </c>
      <c r="D832" s="5">
        <v>45626</v>
      </c>
      <c r="E832">
        <v>7</v>
      </c>
      <c r="F832" t="s">
        <v>105</v>
      </c>
    </row>
    <row r="833" spans="1:6" x14ac:dyDescent="0.3">
      <c r="A833">
        <v>1832</v>
      </c>
      <c r="B833">
        <v>523</v>
      </c>
      <c r="C833" t="s">
        <v>160</v>
      </c>
      <c r="D833" s="5">
        <v>45600</v>
      </c>
      <c r="E833">
        <v>1</v>
      </c>
      <c r="F833" t="s">
        <v>41</v>
      </c>
    </row>
    <row r="834" spans="1:6" x14ac:dyDescent="0.3">
      <c r="A834">
        <v>1833</v>
      </c>
      <c r="B834">
        <v>646</v>
      </c>
      <c r="C834" t="s">
        <v>73</v>
      </c>
      <c r="D834" s="5">
        <v>45402</v>
      </c>
      <c r="E834">
        <v>3</v>
      </c>
      <c r="F834" t="s">
        <v>105</v>
      </c>
    </row>
    <row r="835" spans="1:6" x14ac:dyDescent="0.3">
      <c r="A835">
        <v>1834</v>
      </c>
      <c r="B835">
        <v>518</v>
      </c>
      <c r="C835" t="s">
        <v>129</v>
      </c>
      <c r="D835" s="5">
        <v>45322</v>
      </c>
      <c r="E835">
        <v>7</v>
      </c>
      <c r="F835" t="s">
        <v>131</v>
      </c>
    </row>
    <row r="836" spans="1:6" x14ac:dyDescent="0.3">
      <c r="A836">
        <v>1835</v>
      </c>
      <c r="B836">
        <v>567</v>
      </c>
      <c r="C836" t="s">
        <v>148</v>
      </c>
      <c r="D836" s="5">
        <v>45453</v>
      </c>
      <c r="E836">
        <v>10</v>
      </c>
      <c r="F836" t="s">
        <v>105</v>
      </c>
    </row>
    <row r="837" spans="1:6" x14ac:dyDescent="0.3">
      <c r="A837">
        <v>1836</v>
      </c>
      <c r="B837">
        <v>568</v>
      </c>
      <c r="C837" t="s">
        <v>184</v>
      </c>
      <c r="D837" s="5">
        <v>45438</v>
      </c>
      <c r="E837">
        <v>13</v>
      </c>
      <c r="F837" t="s">
        <v>131</v>
      </c>
    </row>
    <row r="838" spans="1:6" x14ac:dyDescent="0.3">
      <c r="A838">
        <v>1837</v>
      </c>
      <c r="B838">
        <v>600</v>
      </c>
      <c r="C838" t="s">
        <v>114</v>
      </c>
      <c r="D838" s="5">
        <v>45517</v>
      </c>
      <c r="E838">
        <v>10</v>
      </c>
      <c r="F838" t="s">
        <v>40</v>
      </c>
    </row>
    <row r="839" spans="1:6" x14ac:dyDescent="0.3">
      <c r="A839">
        <v>1838</v>
      </c>
      <c r="B839">
        <v>732</v>
      </c>
      <c r="C839" t="s">
        <v>126</v>
      </c>
      <c r="D839" s="5">
        <v>45308</v>
      </c>
      <c r="E839">
        <v>14</v>
      </c>
      <c r="F839" t="s">
        <v>42</v>
      </c>
    </row>
    <row r="840" spans="1:6" x14ac:dyDescent="0.3">
      <c r="A840">
        <v>1839</v>
      </c>
      <c r="B840">
        <v>603</v>
      </c>
      <c r="C840" t="s">
        <v>142</v>
      </c>
      <c r="D840" s="5">
        <v>45559</v>
      </c>
      <c r="E840">
        <v>4</v>
      </c>
      <c r="F840" t="s">
        <v>43</v>
      </c>
    </row>
    <row r="841" spans="1:6" x14ac:dyDescent="0.3">
      <c r="A841">
        <v>1840</v>
      </c>
      <c r="B841">
        <v>638</v>
      </c>
      <c r="C841" t="s">
        <v>178</v>
      </c>
      <c r="D841" s="5">
        <v>45629</v>
      </c>
      <c r="E841">
        <v>2</v>
      </c>
      <c r="F841" t="s">
        <v>105</v>
      </c>
    </row>
    <row r="842" spans="1:6" x14ac:dyDescent="0.3">
      <c r="A842">
        <v>1841</v>
      </c>
      <c r="B842">
        <v>579</v>
      </c>
      <c r="C842" t="s">
        <v>6</v>
      </c>
      <c r="D842" s="5">
        <v>45539</v>
      </c>
      <c r="E842">
        <v>4</v>
      </c>
      <c r="F842" t="s">
        <v>40</v>
      </c>
    </row>
    <row r="843" spans="1:6" x14ac:dyDescent="0.3">
      <c r="A843">
        <v>1842</v>
      </c>
      <c r="B843">
        <v>740</v>
      </c>
      <c r="C843" t="s">
        <v>73</v>
      </c>
      <c r="D843" s="5">
        <v>45322</v>
      </c>
      <c r="E843">
        <v>16</v>
      </c>
      <c r="F843" t="s">
        <v>105</v>
      </c>
    </row>
    <row r="844" spans="1:6" x14ac:dyDescent="0.3">
      <c r="A844">
        <v>1843</v>
      </c>
      <c r="B844">
        <v>742</v>
      </c>
      <c r="C844" t="s">
        <v>169</v>
      </c>
      <c r="D844" s="5">
        <v>45618</v>
      </c>
      <c r="E844">
        <v>5</v>
      </c>
      <c r="F844" t="s">
        <v>171</v>
      </c>
    </row>
    <row r="845" spans="1:6" x14ac:dyDescent="0.3">
      <c r="A845">
        <v>1844</v>
      </c>
      <c r="B845">
        <v>572</v>
      </c>
      <c r="C845" t="s">
        <v>145</v>
      </c>
      <c r="D845" s="5">
        <v>45409</v>
      </c>
      <c r="E845">
        <v>3</v>
      </c>
      <c r="F845" t="s">
        <v>135</v>
      </c>
    </row>
    <row r="846" spans="1:6" x14ac:dyDescent="0.3">
      <c r="A846">
        <v>1845</v>
      </c>
      <c r="B846">
        <v>714</v>
      </c>
      <c r="C846" t="s">
        <v>154</v>
      </c>
      <c r="D846" s="5">
        <v>45501</v>
      </c>
      <c r="E846">
        <v>6</v>
      </c>
      <c r="F846" t="s">
        <v>152</v>
      </c>
    </row>
    <row r="847" spans="1:6" x14ac:dyDescent="0.3">
      <c r="A847">
        <v>1846</v>
      </c>
      <c r="B847">
        <v>649</v>
      </c>
      <c r="C847" t="s">
        <v>145</v>
      </c>
      <c r="D847" s="5">
        <v>45328</v>
      </c>
      <c r="E847">
        <v>15</v>
      </c>
      <c r="F847" t="s">
        <v>135</v>
      </c>
    </row>
    <row r="848" spans="1:6" x14ac:dyDescent="0.3">
      <c r="A848">
        <v>1847</v>
      </c>
      <c r="B848">
        <v>527</v>
      </c>
      <c r="C848" t="s">
        <v>158</v>
      </c>
      <c r="D848" s="5">
        <v>45477</v>
      </c>
      <c r="E848">
        <v>16</v>
      </c>
      <c r="F848" t="s">
        <v>112</v>
      </c>
    </row>
    <row r="849" spans="1:6" x14ac:dyDescent="0.3">
      <c r="A849">
        <v>1848</v>
      </c>
      <c r="B849">
        <v>538</v>
      </c>
      <c r="C849" t="s">
        <v>117</v>
      </c>
      <c r="D849" s="5">
        <v>45627</v>
      </c>
      <c r="E849">
        <v>9</v>
      </c>
      <c r="F849" t="s">
        <v>119</v>
      </c>
    </row>
    <row r="850" spans="1:6" x14ac:dyDescent="0.3">
      <c r="A850">
        <v>1849</v>
      </c>
      <c r="B850">
        <v>616</v>
      </c>
      <c r="C850" t="s">
        <v>10</v>
      </c>
      <c r="D850" s="5">
        <v>45462</v>
      </c>
      <c r="E850">
        <v>5</v>
      </c>
      <c r="F850" t="s">
        <v>44</v>
      </c>
    </row>
    <row r="851" spans="1:6" x14ac:dyDescent="0.3">
      <c r="A851">
        <v>1850</v>
      </c>
      <c r="B851">
        <v>741</v>
      </c>
      <c r="C851" t="s">
        <v>72</v>
      </c>
      <c r="D851" s="5">
        <v>45400</v>
      </c>
      <c r="E851">
        <v>4</v>
      </c>
      <c r="F851" t="s">
        <v>41</v>
      </c>
    </row>
    <row r="852" spans="1:6" x14ac:dyDescent="0.3">
      <c r="A852">
        <v>1851</v>
      </c>
      <c r="B852">
        <v>538</v>
      </c>
      <c r="C852" t="s">
        <v>178</v>
      </c>
      <c r="D852" s="5">
        <v>45645</v>
      </c>
      <c r="E852">
        <v>4</v>
      </c>
      <c r="F852" t="s">
        <v>105</v>
      </c>
    </row>
    <row r="853" spans="1:6" x14ac:dyDescent="0.3">
      <c r="A853">
        <v>1852</v>
      </c>
      <c r="B853">
        <v>731</v>
      </c>
      <c r="C853" t="s">
        <v>178</v>
      </c>
      <c r="D853" s="5">
        <v>45645</v>
      </c>
      <c r="E853">
        <v>3</v>
      </c>
      <c r="F853" t="s">
        <v>105</v>
      </c>
    </row>
    <row r="854" spans="1:6" x14ac:dyDescent="0.3">
      <c r="A854">
        <v>1853</v>
      </c>
      <c r="B854">
        <v>675</v>
      </c>
      <c r="C854" t="s">
        <v>129</v>
      </c>
      <c r="D854" s="5">
        <v>45321</v>
      </c>
      <c r="E854">
        <v>7</v>
      </c>
      <c r="F854" t="s">
        <v>131</v>
      </c>
    </row>
    <row r="855" spans="1:6" x14ac:dyDescent="0.3">
      <c r="A855">
        <v>1854</v>
      </c>
      <c r="B855">
        <v>629</v>
      </c>
      <c r="C855" t="s">
        <v>129</v>
      </c>
      <c r="D855" s="5">
        <v>45478</v>
      </c>
      <c r="E855">
        <v>15</v>
      </c>
      <c r="F855" t="s">
        <v>131</v>
      </c>
    </row>
    <row r="856" spans="1:6" x14ac:dyDescent="0.3">
      <c r="A856">
        <v>1855</v>
      </c>
      <c r="B856">
        <v>733</v>
      </c>
      <c r="C856" t="s">
        <v>169</v>
      </c>
      <c r="D856" s="5">
        <v>45427</v>
      </c>
      <c r="E856">
        <v>16</v>
      </c>
      <c r="F856" t="s">
        <v>171</v>
      </c>
    </row>
    <row r="857" spans="1:6" x14ac:dyDescent="0.3">
      <c r="A857">
        <v>1856</v>
      </c>
      <c r="B857">
        <v>534</v>
      </c>
      <c r="C857" t="s">
        <v>173</v>
      </c>
      <c r="D857" s="5">
        <v>45566</v>
      </c>
      <c r="E857">
        <v>9</v>
      </c>
      <c r="F857" t="s">
        <v>135</v>
      </c>
    </row>
    <row r="858" spans="1:6" x14ac:dyDescent="0.3">
      <c r="A858">
        <v>1857</v>
      </c>
      <c r="B858">
        <v>658</v>
      </c>
      <c r="C858" t="s">
        <v>140</v>
      </c>
      <c r="D858" s="5">
        <v>45524</v>
      </c>
      <c r="E858">
        <v>14</v>
      </c>
      <c r="F858" t="s">
        <v>41</v>
      </c>
    </row>
    <row r="859" spans="1:6" x14ac:dyDescent="0.3">
      <c r="A859">
        <v>1858</v>
      </c>
      <c r="B859">
        <v>525</v>
      </c>
      <c r="C859" t="s">
        <v>184</v>
      </c>
      <c r="D859" s="5">
        <v>45396</v>
      </c>
      <c r="E859">
        <v>18</v>
      </c>
      <c r="F859" t="s">
        <v>131</v>
      </c>
    </row>
    <row r="860" spans="1:6" x14ac:dyDescent="0.3">
      <c r="A860">
        <v>1859</v>
      </c>
      <c r="B860">
        <v>527</v>
      </c>
      <c r="C860" t="s">
        <v>7</v>
      </c>
      <c r="D860" s="5">
        <v>45377</v>
      </c>
      <c r="E860">
        <v>3</v>
      </c>
      <c r="F860" t="s">
        <v>41</v>
      </c>
    </row>
    <row r="861" spans="1:6" x14ac:dyDescent="0.3">
      <c r="A861">
        <v>1860</v>
      </c>
      <c r="B861">
        <v>659</v>
      </c>
      <c r="C861" t="s">
        <v>137</v>
      </c>
      <c r="D861" s="5">
        <v>45449</v>
      </c>
      <c r="E861">
        <v>9</v>
      </c>
      <c r="F861" t="s">
        <v>135</v>
      </c>
    </row>
    <row r="862" spans="1:6" x14ac:dyDescent="0.3">
      <c r="A862">
        <v>1861</v>
      </c>
      <c r="B862">
        <v>506</v>
      </c>
      <c r="C862" t="s">
        <v>137</v>
      </c>
      <c r="D862" s="5">
        <v>45478</v>
      </c>
      <c r="E862">
        <v>1</v>
      </c>
      <c r="F862" t="s">
        <v>135</v>
      </c>
    </row>
    <row r="863" spans="1:6" x14ac:dyDescent="0.3">
      <c r="A863">
        <v>1862</v>
      </c>
      <c r="B863">
        <v>702</v>
      </c>
      <c r="C863" t="s">
        <v>110</v>
      </c>
      <c r="D863" s="5">
        <v>45347</v>
      </c>
      <c r="E863">
        <v>19</v>
      </c>
      <c r="F863" t="s">
        <v>112</v>
      </c>
    </row>
    <row r="864" spans="1:6" x14ac:dyDescent="0.3">
      <c r="A864">
        <v>1863</v>
      </c>
      <c r="B864">
        <v>586</v>
      </c>
      <c r="C864" t="s">
        <v>73</v>
      </c>
      <c r="D864" s="5">
        <v>45470</v>
      </c>
      <c r="E864">
        <v>18</v>
      </c>
      <c r="F864" t="s">
        <v>105</v>
      </c>
    </row>
    <row r="865" spans="1:6" x14ac:dyDescent="0.3">
      <c r="A865">
        <v>1864</v>
      </c>
      <c r="B865">
        <v>601</v>
      </c>
      <c r="C865" t="s">
        <v>162</v>
      </c>
      <c r="D865" s="5">
        <v>45500</v>
      </c>
      <c r="E865">
        <v>18</v>
      </c>
      <c r="F865" t="s">
        <v>164</v>
      </c>
    </row>
    <row r="866" spans="1:6" x14ac:dyDescent="0.3">
      <c r="A866">
        <v>1865</v>
      </c>
      <c r="B866">
        <v>570</v>
      </c>
      <c r="C866" t="s">
        <v>160</v>
      </c>
      <c r="D866" s="5">
        <v>45452</v>
      </c>
      <c r="E866">
        <v>6</v>
      </c>
      <c r="F866" t="s">
        <v>41</v>
      </c>
    </row>
    <row r="867" spans="1:6" x14ac:dyDescent="0.3">
      <c r="A867">
        <v>1866</v>
      </c>
      <c r="B867">
        <v>636</v>
      </c>
      <c r="C867" t="s">
        <v>7</v>
      </c>
      <c r="D867" s="5">
        <v>45298</v>
      </c>
      <c r="E867">
        <v>4</v>
      </c>
      <c r="F867" t="s">
        <v>41</v>
      </c>
    </row>
    <row r="868" spans="1:6" x14ac:dyDescent="0.3">
      <c r="A868">
        <v>1867</v>
      </c>
      <c r="B868">
        <v>563</v>
      </c>
      <c r="C868" t="s">
        <v>156</v>
      </c>
      <c r="D868" s="5">
        <v>45445</v>
      </c>
      <c r="E868">
        <v>5</v>
      </c>
      <c r="F868" t="s">
        <v>112</v>
      </c>
    </row>
    <row r="869" spans="1:6" x14ac:dyDescent="0.3">
      <c r="A869">
        <v>1868</v>
      </c>
      <c r="B869">
        <v>565</v>
      </c>
      <c r="C869" t="s">
        <v>175</v>
      </c>
      <c r="D869" s="5">
        <v>45574</v>
      </c>
      <c r="E869">
        <v>6</v>
      </c>
      <c r="F869" t="s">
        <v>105</v>
      </c>
    </row>
    <row r="870" spans="1:6" x14ac:dyDescent="0.3">
      <c r="A870">
        <v>1869</v>
      </c>
      <c r="B870">
        <v>698</v>
      </c>
      <c r="C870" t="s">
        <v>160</v>
      </c>
      <c r="D870" s="5">
        <v>45573</v>
      </c>
      <c r="E870">
        <v>9</v>
      </c>
      <c r="F870" t="s">
        <v>41</v>
      </c>
    </row>
    <row r="871" spans="1:6" x14ac:dyDescent="0.3">
      <c r="A871">
        <v>1870</v>
      </c>
      <c r="B871">
        <v>622</v>
      </c>
      <c r="C871" t="s">
        <v>7</v>
      </c>
      <c r="D871" s="5">
        <v>45311</v>
      </c>
      <c r="E871">
        <v>15</v>
      </c>
      <c r="F871" t="s">
        <v>41</v>
      </c>
    </row>
    <row r="872" spans="1:6" x14ac:dyDescent="0.3">
      <c r="A872">
        <v>1871</v>
      </c>
      <c r="B872">
        <v>539</v>
      </c>
      <c r="C872" t="s">
        <v>162</v>
      </c>
      <c r="D872" s="5">
        <v>45325</v>
      </c>
      <c r="E872">
        <v>7</v>
      </c>
      <c r="F872" t="s">
        <v>164</v>
      </c>
    </row>
    <row r="873" spans="1:6" x14ac:dyDescent="0.3">
      <c r="A873">
        <v>1872</v>
      </c>
      <c r="B873">
        <v>626</v>
      </c>
      <c r="C873" t="s">
        <v>126</v>
      </c>
      <c r="D873" s="5">
        <v>45643</v>
      </c>
      <c r="E873">
        <v>12</v>
      </c>
      <c r="F873" t="s">
        <v>42</v>
      </c>
    </row>
    <row r="874" spans="1:6" x14ac:dyDescent="0.3">
      <c r="A874">
        <v>1873</v>
      </c>
      <c r="B874">
        <v>581</v>
      </c>
      <c r="C874" t="s">
        <v>162</v>
      </c>
      <c r="D874" s="5">
        <v>45479</v>
      </c>
      <c r="E874">
        <v>18</v>
      </c>
      <c r="F874" t="s">
        <v>164</v>
      </c>
    </row>
    <row r="875" spans="1:6" x14ac:dyDescent="0.3">
      <c r="A875">
        <v>1874</v>
      </c>
      <c r="B875">
        <v>697</v>
      </c>
      <c r="C875" t="s">
        <v>9</v>
      </c>
      <c r="D875" s="5">
        <v>45650</v>
      </c>
      <c r="E875">
        <v>6</v>
      </c>
      <c r="F875" t="s">
        <v>43</v>
      </c>
    </row>
    <row r="876" spans="1:6" x14ac:dyDescent="0.3">
      <c r="A876">
        <v>1875</v>
      </c>
      <c r="B876">
        <v>712</v>
      </c>
      <c r="C876" t="s">
        <v>162</v>
      </c>
      <c r="D876" s="5">
        <v>45618</v>
      </c>
      <c r="E876">
        <v>14</v>
      </c>
      <c r="F876" t="s">
        <v>164</v>
      </c>
    </row>
    <row r="877" spans="1:6" x14ac:dyDescent="0.3">
      <c r="A877">
        <v>1876</v>
      </c>
      <c r="B877">
        <v>567</v>
      </c>
      <c r="C877" t="s">
        <v>121</v>
      </c>
      <c r="D877" s="5">
        <v>45656</v>
      </c>
      <c r="E877">
        <v>12</v>
      </c>
      <c r="F877" t="s">
        <v>105</v>
      </c>
    </row>
    <row r="878" spans="1:6" x14ac:dyDescent="0.3">
      <c r="A878">
        <v>1877</v>
      </c>
      <c r="B878">
        <v>671</v>
      </c>
      <c r="C878" t="s">
        <v>156</v>
      </c>
      <c r="D878" s="5">
        <v>45324</v>
      </c>
      <c r="E878">
        <v>2</v>
      </c>
      <c r="F878" t="s">
        <v>112</v>
      </c>
    </row>
    <row r="879" spans="1:6" x14ac:dyDescent="0.3">
      <c r="A879">
        <v>1878</v>
      </c>
      <c r="B879">
        <v>679</v>
      </c>
      <c r="C879" t="s">
        <v>114</v>
      </c>
      <c r="D879" s="5">
        <v>45491</v>
      </c>
      <c r="E879">
        <v>13</v>
      </c>
      <c r="F879" t="s">
        <v>40</v>
      </c>
    </row>
    <row r="880" spans="1:6" x14ac:dyDescent="0.3">
      <c r="A880">
        <v>1879</v>
      </c>
      <c r="B880">
        <v>502</v>
      </c>
      <c r="C880" t="s">
        <v>166</v>
      </c>
      <c r="D880" s="5">
        <v>45649</v>
      </c>
      <c r="E880">
        <v>5</v>
      </c>
      <c r="F880" t="s">
        <v>40</v>
      </c>
    </row>
    <row r="881" spans="1:6" x14ac:dyDescent="0.3">
      <c r="A881">
        <v>1880</v>
      </c>
      <c r="B881">
        <v>559</v>
      </c>
      <c r="C881" t="s">
        <v>166</v>
      </c>
      <c r="D881" s="5">
        <v>45429</v>
      </c>
      <c r="E881">
        <v>9</v>
      </c>
      <c r="F881" t="s">
        <v>40</v>
      </c>
    </row>
    <row r="882" spans="1:6" x14ac:dyDescent="0.3">
      <c r="A882">
        <v>1881</v>
      </c>
      <c r="B882">
        <v>662</v>
      </c>
      <c r="C882" t="s">
        <v>140</v>
      </c>
      <c r="D882" s="5">
        <v>45539</v>
      </c>
      <c r="E882">
        <v>9</v>
      </c>
      <c r="F882" t="s">
        <v>41</v>
      </c>
    </row>
    <row r="883" spans="1:6" x14ac:dyDescent="0.3">
      <c r="A883">
        <v>1882</v>
      </c>
      <c r="B883">
        <v>570</v>
      </c>
      <c r="C883" t="s">
        <v>133</v>
      </c>
      <c r="D883" s="5">
        <v>45516</v>
      </c>
      <c r="E883">
        <v>16</v>
      </c>
      <c r="F883" t="s">
        <v>135</v>
      </c>
    </row>
    <row r="884" spans="1:6" x14ac:dyDescent="0.3">
      <c r="A884">
        <v>1883</v>
      </c>
      <c r="B884">
        <v>502</v>
      </c>
      <c r="C884" t="s">
        <v>160</v>
      </c>
      <c r="D884" s="5">
        <v>45616</v>
      </c>
      <c r="E884">
        <v>10</v>
      </c>
      <c r="F884" t="s">
        <v>41</v>
      </c>
    </row>
    <row r="885" spans="1:6" x14ac:dyDescent="0.3">
      <c r="A885">
        <v>1884</v>
      </c>
      <c r="B885">
        <v>616</v>
      </c>
      <c r="C885" t="s">
        <v>10</v>
      </c>
      <c r="D885" s="5">
        <v>45472</v>
      </c>
      <c r="E885">
        <v>16</v>
      </c>
      <c r="F885" t="s">
        <v>44</v>
      </c>
    </row>
    <row r="886" spans="1:6" x14ac:dyDescent="0.3">
      <c r="A886">
        <v>1885</v>
      </c>
      <c r="B886">
        <v>731</v>
      </c>
      <c r="C886" t="s">
        <v>184</v>
      </c>
      <c r="D886" s="5">
        <v>45592</v>
      </c>
      <c r="E886">
        <v>6</v>
      </c>
      <c r="F886" t="s">
        <v>131</v>
      </c>
    </row>
    <row r="887" spans="1:6" x14ac:dyDescent="0.3">
      <c r="A887">
        <v>1886</v>
      </c>
      <c r="B887">
        <v>668</v>
      </c>
      <c r="C887" t="s">
        <v>133</v>
      </c>
      <c r="D887" s="5">
        <v>45421</v>
      </c>
      <c r="E887">
        <v>13</v>
      </c>
      <c r="F887" t="s">
        <v>135</v>
      </c>
    </row>
    <row r="888" spans="1:6" x14ac:dyDescent="0.3">
      <c r="A888">
        <v>1887</v>
      </c>
      <c r="B888">
        <v>553</v>
      </c>
      <c r="C888" t="s">
        <v>158</v>
      </c>
      <c r="D888" s="5">
        <v>45597</v>
      </c>
      <c r="E888">
        <v>6</v>
      </c>
      <c r="F888" t="s">
        <v>112</v>
      </c>
    </row>
    <row r="889" spans="1:6" x14ac:dyDescent="0.3">
      <c r="A889">
        <v>1888</v>
      </c>
      <c r="B889">
        <v>630</v>
      </c>
      <c r="C889" t="s">
        <v>166</v>
      </c>
      <c r="D889" s="5">
        <v>45548</v>
      </c>
      <c r="E889">
        <v>9</v>
      </c>
      <c r="F889" t="s">
        <v>40</v>
      </c>
    </row>
    <row r="890" spans="1:6" x14ac:dyDescent="0.3">
      <c r="A890">
        <v>1889</v>
      </c>
      <c r="B890">
        <v>697</v>
      </c>
      <c r="C890" t="s">
        <v>10</v>
      </c>
      <c r="D890" s="5">
        <v>45477</v>
      </c>
      <c r="E890">
        <v>14</v>
      </c>
      <c r="F890" t="s">
        <v>44</v>
      </c>
    </row>
    <row r="891" spans="1:6" x14ac:dyDescent="0.3">
      <c r="A891">
        <v>1890</v>
      </c>
      <c r="B891">
        <v>507</v>
      </c>
      <c r="C891" t="s">
        <v>7</v>
      </c>
      <c r="D891" s="5">
        <v>45640</v>
      </c>
      <c r="E891">
        <v>6</v>
      </c>
      <c r="F891" t="s">
        <v>41</v>
      </c>
    </row>
    <row r="892" spans="1:6" x14ac:dyDescent="0.3">
      <c r="A892">
        <v>1891</v>
      </c>
      <c r="B892">
        <v>603</v>
      </c>
      <c r="C892" t="s">
        <v>73</v>
      </c>
      <c r="D892" s="5">
        <v>45402</v>
      </c>
      <c r="E892">
        <v>12</v>
      </c>
      <c r="F892" t="s">
        <v>105</v>
      </c>
    </row>
    <row r="893" spans="1:6" x14ac:dyDescent="0.3">
      <c r="A893">
        <v>1892</v>
      </c>
      <c r="B893">
        <v>586</v>
      </c>
      <c r="C893" t="s">
        <v>73</v>
      </c>
      <c r="D893" s="5">
        <v>45424</v>
      </c>
      <c r="E893">
        <v>17</v>
      </c>
      <c r="F893" t="s">
        <v>105</v>
      </c>
    </row>
    <row r="894" spans="1:6" x14ac:dyDescent="0.3">
      <c r="A894">
        <v>1893</v>
      </c>
      <c r="B894">
        <v>626</v>
      </c>
      <c r="C894" t="s">
        <v>123</v>
      </c>
      <c r="D894" s="5">
        <v>45584</v>
      </c>
      <c r="E894">
        <v>18</v>
      </c>
      <c r="F894" t="s">
        <v>112</v>
      </c>
    </row>
    <row r="895" spans="1:6" x14ac:dyDescent="0.3">
      <c r="A895">
        <v>1894</v>
      </c>
      <c r="B895">
        <v>541</v>
      </c>
      <c r="C895" t="s">
        <v>148</v>
      </c>
      <c r="D895" s="5">
        <v>45593</v>
      </c>
      <c r="E895">
        <v>11</v>
      </c>
      <c r="F895" t="s">
        <v>105</v>
      </c>
    </row>
    <row r="896" spans="1:6" x14ac:dyDescent="0.3">
      <c r="A896">
        <v>1895</v>
      </c>
      <c r="B896">
        <v>518</v>
      </c>
      <c r="C896" t="s">
        <v>169</v>
      </c>
      <c r="D896" s="5">
        <v>45378</v>
      </c>
      <c r="E896">
        <v>7</v>
      </c>
      <c r="F896" t="s">
        <v>171</v>
      </c>
    </row>
    <row r="897" spans="1:6" x14ac:dyDescent="0.3">
      <c r="A897">
        <v>1896</v>
      </c>
      <c r="B897">
        <v>574</v>
      </c>
      <c r="C897" t="s">
        <v>150</v>
      </c>
      <c r="D897" s="5">
        <v>45642</v>
      </c>
      <c r="E897">
        <v>17</v>
      </c>
      <c r="F897" t="s">
        <v>152</v>
      </c>
    </row>
    <row r="898" spans="1:6" x14ac:dyDescent="0.3">
      <c r="A898">
        <v>1897</v>
      </c>
      <c r="B898">
        <v>685</v>
      </c>
      <c r="C898" t="s">
        <v>166</v>
      </c>
      <c r="D898" s="5">
        <v>45582</v>
      </c>
      <c r="E898">
        <v>2</v>
      </c>
      <c r="F898" t="s">
        <v>40</v>
      </c>
    </row>
    <row r="899" spans="1:6" x14ac:dyDescent="0.3">
      <c r="A899">
        <v>1898</v>
      </c>
      <c r="B899">
        <v>589</v>
      </c>
      <c r="C899" t="s">
        <v>126</v>
      </c>
      <c r="D899" s="5">
        <v>45473</v>
      </c>
      <c r="E899">
        <v>15</v>
      </c>
      <c r="F899" t="s">
        <v>42</v>
      </c>
    </row>
    <row r="900" spans="1:6" x14ac:dyDescent="0.3">
      <c r="A900">
        <v>1899</v>
      </c>
      <c r="B900">
        <v>588</v>
      </c>
      <c r="C900" t="s">
        <v>142</v>
      </c>
      <c r="D900" s="5">
        <v>45401</v>
      </c>
      <c r="E900">
        <v>13</v>
      </c>
      <c r="F900" t="s">
        <v>43</v>
      </c>
    </row>
    <row r="901" spans="1:6" x14ac:dyDescent="0.3">
      <c r="A901">
        <v>1900</v>
      </c>
      <c r="B901">
        <v>506</v>
      </c>
      <c r="C901" t="s">
        <v>9</v>
      </c>
      <c r="D901" s="5">
        <v>45573</v>
      </c>
      <c r="E901">
        <v>1</v>
      </c>
      <c r="F901" t="s">
        <v>43</v>
      </c>
    </row>
    <row r="902" spans="1:6" x14ac:dyDescent="0.3">
      <c r="A902">
        <v>1901</v>
      </c>
      <c r="B902">
        <v>643</v>
      </c>
      <c r="C902" t="s">
        <v>114</v>
      </c>
      <c r="D902" s="5">
        <v>45446</v>
      </c>
      <c r="E902">
        <v>14</v>
      </c>
      <c r="F902" t="s">
        <v>40</v>
      </c>
    </row>
    <row r="903" spans="1:6" x14ac:dyDescent="0.3">
      <c r="A903">
        <v>1902</v>
      </c>
      <c r="B903">
        <v>566</v>
      </c>
      <c r="C903" t="s">
        <v>114</v>
      </c>
      <c r="D903" s="5">
        <v>45441</v>
      </c>
      <c r="E903">
        <v>17</v>
      </c>
      <c r="F903" t="s">
        <v>40</v>
      </c>
    </row>
    <row r="904" spans="1:6" x14ac:dyDescent="0.3">
      <c r="A904">
        <v>1903</v>
      </c>
      <c r="B904">
        <v>609</v>
      </c>
      <c r="C904" t="s">
        <v>162</v>
      </c>
      <c r="D904" s="5">
        <v>45581</v>
      </c>
      <c r="E904">
        <v>13</v>
      </c>
      <c r="F904" t="s">
        <v>164</v>
      </c>
    </row>
    <row r="905" spans="1:6" x14ac:dyDescent="0.3">
      <c r="A905">
        <v>1904</v>
      </c>
      <c r="B905">
        <v>636</v>
      </c>
      <c r="C905" t="s">
        <v>133</v>
      </c>
      <c r="D905" s="5">
        <v>45381</v>
      </c>
      <c r="E905">
        <v>14</v>
      </c>
      <c r="F905" t="s">
        <v>135</v>
      </c>
    </row>
    <row r="906" spans="1:6" x14ac:dyDescent="0.3">
      <c r="A906">
        <v>1905</v>
      </c>
      <c r="B906">
        <v>553</v>
      </c>
      <c r="C906" t="s">
        <v>8</v>
      </c>
      <c r="D906" s="5">
        <v>45439</v>
      </c>
      <c r="E906">
        <v>7</v>
      </c>
      <c r="F906" t="s">
        <v>42</v>
      </c>
    </row>
    <row r="907" spans="1:6" x14ac:dyDescent="0.3">
      <c r="A907">
        <v>1906</v>
      </c>
      <c r="B907">
        <v>615</v>
      </c>
      <c r="C907" t="s">
        <v>73</v>
      </c>
      <c r="D907" s="5">
        <v>45506</v>
      </c>
      <c r="E907">
        <v>1</v>
      </c>
      <c r="F907" t="s">
        <v>105</v>
      </c>
    </row>
    <row r="908" spans="1:6" x14ac:dyDescent="0.3">
      <c r="A908">
        <v>1907</v>
      </c>
      <c r="B908">
        <v>670</v>
      </c>
      <c r="C908" t="s">
        <v>73</v>
      </c>
      <c r="D908" s="5">
        <v>45352</v>
      </c>
      <c r="E908">
        <v>9</v>
      </c>
      <c r="F908" t="s">
        <v>105</v>
      </c>
    </row>
    <row r="909" spans="1:6" x14ac:dyDescent="0.3">
      <c r="A909">
        <v>1908</v>
      </c>
      <c r="B909">
        <v>525</v>
      </c>
      <c r="C909" t="s">
        <v>137</v>
      </c>
      <c r="D909" s="5">
        <v>45578</v>
      </c>
      <c r="E909">
        <v>1</v>
      </c>
      <c r="F909" t="s">
        <v>135</v>
      </c>
    </row>
    <row r="910" spans="1:6" x14ac:dyDescent="0.3">
      <c r="A910">
        <v>1909</v>
      </c>
      <c r="B910">
        <v>560</v>
      </c>
      <c r="C910" t="s">
        <v>154</v>
      </c>
      <c r="D910" s="5">
        <v>45574</v>
      </c>
      <c r="E910">
        <v>3</v>
      </c>
      <c r="F910" t="s">
        <v>152</v>
      </c>
    </row>
    <row r="911" spans="1:6" x14ac:dyDescent="0.3">
      <c r="A911">
        <v>1910</v>
      </c>
      <c r="B911">
        <v>696</v>
      </c>
      <c r="C911" t="s">
        <v>8</v>
      </c>
      <c r="D911" s="5">
        <v>45450</v>
      </c>
      <c r="E911">
        <v>16</v>
      </c>
      <c r="F911" t="s">
        <v>42</v>
      </c>
    </row>
    <row r="912" spans="1:6" x14ac:dyDescent="0.3">
      <c r="A912">
        <v>1911</v>
      </c>
      <c r="B912">
        <v>730</v>
      </c>
      <c r="C912" t="s">
        <v>145</v>
      </c>
      <c r="D912" s="5">
        <v>45525</v>
      </c>
      <c r="E912">
        <v>7</v>
      </c>
      <c r="F912" t="s">
        <v>135</v>
      </c>
    </row>
    <row r="913" spans="1:6" x14ac:dyDescent="0.3">
      <c r="A913">
        <v>1912</v>
      </c>
      <c r="B913">
        <v>639</v>
      </c>
      <c r="C913" t="s">
        <v>162</v>
      </c>
      <c r="D913" s="5">
        <v>45558</v>
      </c>
      <c r="E913">
        <v>4</v>
      </c>
      <c r="F913" t="s">
        <v>164</v>
      </c>
    </row>
    <row r="914" spans="1:6" x14ac:dyDescent="0.3">
      <c r="A914">
        <v>1913</v>
      </c>
      <c r="B914">
        <v>571</v>
      </c>
      <c r="C914" t="s">
        <v>173</v>
      </c>
      <c r="D914" s="5">
        <v>45299</v>
      </c>
      <c r="E914">
        <v>9</v>
      </c>
      <c r="F914" t="s">
        <v>135</v>
      </c>
    </row>
    <row r="915" spans="1:6" x14ac:dyDescent="0.3">
      <c r="A915">
        <v>1914</v>
      </c>
      <c r="B915">
        <v>652</v>
      </c>
      <c r="C915" t="s">
        <v>154</v>
      </c>
      <c r="D915" s="5">
        <v>45477</v>
      </c>
      <c r="E915">
        <v>14</v>
      </c>
      <c r="F915" t="s">
        <v>152</v>
      </c>
    </row>
    <row r="916" spans="1:6" x14ac:dyDescent="0.3">
      <c r="A916">
        <v>1915</v>
      </c>
      <c r="B916">
        <v>722</v>
      </c>
      <c r="C916" t="s">
        <v>133</v>
      </c>
      <c r="D916" s="5">
        <v>45446</v>
      </c>
      <c r="E916">
        <v>20</v>
      </c>
      <c r="F916" t="s">
        <v>135</v>
      </c>
    </row>
    <row r="917" spans="1:6" x14ac:dyDescent="0.3">
      <c r="A917">
        <v>1916</v>
      </c>
      <c r="B917">
        <v>689</v>
      </c>
      <c r="C917" t="s">
        <v>73</v>
      </c>
      <c r="D917" s="5">
        <v>45417</v>
      </c>
      <c r="E917">
        <v>20</v>
      </c>
      <c r="F917" t="s">
        <v>105</v>
      </c>
    </row>
    <row r="918" spans="1:6" x14ac:dyDescent="0.3">
      <c r="A918">
        <v>1917</v>
      </c>
      <c r="B918">
        <v>529</v>
      </c>
      <c r="C918" t="s">
        <v>133</v>
      </c>
      <c r="D918" s="5">
        <v>45555</v>
      </c>
      <c r="E918">
        <v>14</v>
      </c>
      <c r="F918" t="s">
        <v>135</v>
      </c>
    </row>
    <row r="919" spans="1:6" x14ac:dyDescent="0.3">
      <c r="A919">
        <v>1918</v>
      </c>
      <c r="B919">
        <v>563</v>
      </c>
      <c r="C919" t="s">
        <v>73</v>
      </c>
      <c r="D919" s="5">
        <v>45471</v>
      </c>
      <c r="E919">
        <v>7</v>
      </c>
      <c r="F919" t="s">
        <v>105</v>
      </c>
    </row>
    <row r="920" spans="1:6" x14ac:dyDescent="0.3">
      <c r="A920">
        <v>1919</v>
      </c>
      <c r="B920">
        <v>647</v>
      </c>
      <c r="C920" t="s">
        <v>142</v>
      </c>
      <c r="D920" s="5">
        <v>45421</v>
      </c>
      <c r="E920">
        <v>17</v>
      </c>
      <c r="F920" t="s">
        <v>43</v>
      </c>
    </row>
    <row r="921" spans="1:6" x14ac:dyDescent="0.3">
      <c r="A921">
        <v>1920</v>
      </c>
      <c r="B921">
        <v>602</v>
      </c>
      <c r="C921" t="s">
        <v>123</v>
      </c>
      <c r="D921" s="5">
        <v>45573</v>
      </c>
      <c r="E921">
        <v>12</v>
      </c>
      <c r="F921" t="s">
        <v>112</v>
      </c>
    </row>
    <row r="922" spans="1:6" x14ac:dyDescent="0.3">
      <c r="A922">
        <v>1921</v>
      </c>
      <c r="B922">
        <v>514</v>
      </c>
      <c r="C922" t="s">
        <v>129</v>
      </c>
      <c r="D922" s="5">
        <v>45502</v>
      </c>
      <c r="E922">
        <v>12</v>
      </c>
      <c r="F922" t="s">
        <v>131</v>
      </c>
    </row>
    <row r="923" spans="1:6" x14ac:dyDescent="0.3">
      <c r="A923">
        <v>1922</v>
      </c>
      <c r="B923">
        <v>548</v>
      </c>
      <c r="C923" t="s">
        <v>184</v>
      </c>
      <c r="D923" s="5">
        <v>45581</v>
      </c>
      <c r="E923">
        <v>19</v>
      </c>
      <c r="F923" t="s">
        <v>131</v>
      </c>
    </row>
    <row r="924" spans="1:6" x14ac:dyDescent="0.3">
      <c r="A924">
        <v>1923</v>
      </c>
      <c r="B924">
        <v>511</v>
      </c>
      <c r="C924" t="s">
        <v>126</v>
      </c>
      <c r="D924" s="5">
        <v>45381</v>
      </c>
      <c r="E924">
        <v>15</v>
      </c>
      <c r="F924" t="s">
        <v>42</v>
      </c>
    </row>
    <row r="925" spans="1:6" x14ac:dyDescent="0.3">
      <c r="A925">
        <v>1924</v>
      </c>
      <c r="B925">
        <v>605</v>
      </c>
      <c r="C925" t="s">
        <v>73</v>
      </c>
      <c r="D925" s="5">
        <v>45514</v>
      </c>
      <c r="E925">
        <v>10</v>
      </c>
      <c r="F925" t="s">
        <v>105</v>
      </c>
    </row>
    <row r="926" spans="1:6" x14ac:dyDescent="0.3">
      <c r="A926">
        <v>1925</v>
      </c>
      <c r="B926">
        <v>697</v>
      </c>
      <c r="C926" t="s">
        <v>148</v>
      </c>
      <c r="D926" s="5">
        <v>45616</v>
      </c>
      <c r="E926">
        <v>19</v>
      </c>
      <c r="F926" t="s">
        <v>105</v>
      </c>
    </row>
    <row r="927" spans="1:6" x14ac:dyDescent="0.3">
      <c r="A927">
        <v>1926</v>
      </c>
      <c r="B927">
        <v>634</v>
      </c>
      <c r="C927" t="s">
        <v>137</v>
      </c>
      <c r="D927" s="5">
        <v>45632</v>
      </c>
      <c r="E927">
        <v>6</v>
      </c>
      <c r="F927" t="s">
        <v>135</v>
      </c>
    </row>
    <row r="928" spans="1:6" x14ac:dyDescent="0.3">
      <c r="A928">
        <v>1927</v>
      </c>
      <c r="B928">
        <v>516</v>
      </c>
      <c r="C928" t="s">
        <v>123</v>
      </c>
      <c r="D928" s="5">
        <v>45501</v>
      </c>
      <c r="E928">
        <v>2</v>
      </c>
      <c r="F928" t="s">
        <v>112</v>
      </c>
    </row>
    <row r="929" spans="1:6" x14ac:dyDescent="0.3">
      <c r="A929">
        <v>1928</v>
      </c>
      <c r="B929">
        <v>544</v>
      </c>
      <c r="C929" t="s">
        <v>145</v>
      </c>
      <c r="D929" s="5">
        <v>45311</v>
      </c>
      <c r="E929">
        <v>9</v>
      </c>
      <c r="F929" t="s">
        <v>135</v>
      </c>
    </row>
    <row r="930" spans="1:6" x14ac:dyDescent="0.3">
      <c r="A930">
        <v>1929</v>
      </c>
      <c r="B930">
        <v>605</v>
      </c>
      <c r="C930" t="s">
        <v>162</v>
      </c>
      <c r="D930" s="5">
        <v>45535</v>
      </c>
      <c r="E930">
        <v>12</v>
      </c>
      <c r="F930" t="s">
        <v>164</v>
      </c>
    </row>
    <row r="931" spans="1:6" x14ac:dyDescent="0.3">
      <c r="A931">
        <v>1930</v>
      </c>
      <c r="B931">
        <v>676</v>
      </c>
      <c r="C931" t="s">
        <v>72</v>
      </c>
      <c r="D931" s="5">
        <v>45310</v>
      </c>
      <c r="E931">
        <v>17</v>
      </c>
      <c r="F931" t="s">
        <v>41</v>
      </c>
    </row>
    <row r="932" spans="1:6" x14ac:dyDescent="0.3">
      <c r="A932">
        <v>1931</v>
      </c>
      <c r="B932">
        <v>582</v>
      </c>
      <c r="C932" t="s">
        <v>184</v>
      </c>
      <c r="D932" s="5">
        <v>45411</v>
      </c>
      <c r="E932">
        <v>5</v>
      </c>
      <c r="F932" t="s">
        <v>131</v>
      </c>
    </row>
    <row r="933" spans="1:6" x14ac:dyDescent="0.3">
      <c r="A933">
        <v>1932</v>
      </c>
      <c r="B933">
        <v>717</v>
      </c>
      <c r="C933" t="s">
        <v>137</v>
      </c>
      <c r="D933" s="5">
        <v>45607</v>
      </c>
      <c r="E933">
        <v>12</v>
      </c>
      <c r="F933" t="s">
        <v>135</v>
      </c>
    </row>
    <row r="934" spans="1:6" x14ac:dyDescent="0.3">
      <c r="A934">
        <v>1933</v>
      </c>
      <c r="B934">
        <v>607</v>
      </c>
      <c r="C934" t="s">
        <v>140</v>
      </c>
      <c r="D934" s="5">
        <v>45588</v>
      </c>
      <c r="E934">
        <v>16</v>
      </c>
      <c r="F934" t="s">
        <v>41</v>
      </c>
    </row>
    <row r="935" spans="1:6" x14ac:dyDescent="0.3">
      <c r="A935">
        <v>1934</v>
      </c>
      <c r="B935">
        <v>637</v>
      </c>
      <c r="C935" t="s">
        <v>173</v>
      </c>
      <c r="D935" s="5">
        <v>45580</v>
      </c>
      <c r="E935">
        <v>12</v>
      </c>
      <c r="F935" t="s">
        <v>135</v>
      </c>
    </row>
    <row r="936" spans="1:6" x14ac:dyDescent="0.3">
      <c r="A936">
        <v>1935</v>
      </c>
      <c r="B936">
        <v>576</v>
      </c>
      <c r="C936" t="s">
        <v>121</v>
      </c>
      <c r="D936" s="5">
        <v>45326</v>
      </c>
      <c r="E936">
        <v>20</v>
      </c>
      <c r="F936" t="s">
        <v>105</v>
      </c>
    </row>
    <row r="937" spans="1:6" x14ac:dyDescent="0.3">
      <c r="A937">
        <v>1936</v>
      </c>
      <c r="B937">
        <v>687</v>
      </c>
      <c r="C937" t="s">
        <v>158</v>
      </c>
      <c r="D937" s="5">
        <v>45545</v>
      </c>
      <c r="E937">
        <v>12</v>
      </c>
      <c r="F937" t="s">
        <v>112</v>
      </c>
    </row>
    <row r="938" spans="1:6" x14ac:dyDescent="0.3">
      <c r="A938">
        <v>1937</v>
      </c>
      <c r="B938">
        <v>685</v>
      </c>
      <c r="C938" t="s">
        <v>173</v>
      </c>
      <c r="D938" s="5">
        <v>45619</v>
      </c>
      <c r="E938">
        <v>14</v>
      </c>
      <c r="F938" t="s">
        <v>135</v>
      </c>
    </row>
    <row r="939" spans="1:6" x14ac:dyDescent="0.3">
      <c r="A939">
        <v>1938</v>
      </c>
      <c r="B939">
        <v>695</v>
      </c>
      <c r="C939" t="s">
        <v>178</v>
      </c>
      <c r="D939" s="5">
        <v>45365</v>
      </c>
      <c r="E939">
        <v>7</v>
      </c>
      <c r="F939" t="s">
        <v>105</v>
      </c>
    </row>
    <row r="940" spans="1:6" x14ac:dyDescent="0.3">
      <c r="A940">
        <v>1939</v>
      </c>
      <c r="B940">
        <v>700</v>
      </c>
      <c r="C940" t="s">
        <v>169</v>
      </c>
      <c r="D940" s="5">
        <v>45455</v>
      </c>
      <c r="E940">
        <v>4</v>
      </c>
      <c r="F940" t="s">
        <v>171</v>
      </c>
    </row>
    <row r="941" spans="1:6" x14ac:dyDescent="0.3">
      <c r="A941">
        <v>1940</v>
      </c>
      <c r="B941">
        <v>530</v>
      </c>
      <c r="C941" t="s">
        <v>156</v>
      </c>
      <c r="D941" s="5">
        <v>45519</v>
      </c>
      <c r="E941">
        <v>6</v>
      </c>
      <c r="F941" t="s">
        <v>112</v>
      </c>
    </row>
    <row r="942" spans="1:6" x14ac:dyDescent="0.3">
      <c r="A942">
        <v>1941</v>
      </c>
      <c r="B942">
        <v>585</v>
      </c>
      <c r="C942" t="s">
        <v>123</v>
      </c>
      <c r="D942" s="5">
        <v>45393</v>
      </c>
      <c r="E942">
        <v>3</v>
      </c>
      <c r="F942" t="s">
        <v>112</v>
      </c>
    </row>
    <row r="943" spans="1:6" x14ac:dyDescent="0.3">
      <c r="A943">
        <v>1942</v>
      </c>
      <c r="B943">
        <v>575</v>
      </c>
      <c r="C943" t="s">
        <v>114</v>
      </c>
      <c r="D943" s="5">
        <v>45623</v>
      </c>
      <c r="E943">
        <v>11</v>
      </c>
      <c r="F943" t="s">
        <v>40</v>
      </c>
    </row>
    <row r="944" spans="1:6" x14ac:dyDescent="0.3">
      <c r="A944">
        <v>1943</v>
      </c>
      <c r="B944">
        <v>737</v>
      </c>
      <c r="C944" t="s">
        <v>175</v>
      </c>
      <c r="D944" s="5">
        <v>45313</v>
      </c>
      <c r="E944">
        <v>6</v>
      </c>
      <c r="F944" t="s">
        <v>105</v>
      </c>
    </row>
    <row r="945" spans="1:6" x14ac:dyDescent="0.3">
      <c r="A945">
        <v>1944</v>
      </c>
      <c r="B945">
        <v>728</v>
      </c>
      <c r="C945" t="s">
        <v>169</v>
      </c>
      <c r="D945" s="5">
        <v>45473</v>
      </c>
      <c r="E945">
        <v>1</v>
      </c>
      <c r="F945" t="s">
        <v>171</v>
      </c>
    </row>
    <row r="946" spans="1:6" x14ac:dyDescent="0.3">
      <c r="A946">
        <v>1945</v>
      </c>
      <c r="B946">
        <v>639</v>
      </c>
      <c r="C946" t="s">
        <v>7</v>
      </c>
      <c r="D946" s="5">
        <v>45341</v>
      </c>
      <c r="E946">
        <v>11</v>
      </c>
      <c r="F946" t="s">
        <v>41</v>
      </c>
    </row>
    <row r="947" spans="1:6" x14ac:dyDescent="0.3">
      <c r="A947">
        <v>1946</v>
      </c>
      <c r="B947">
        <v>501</v>
      </c>
      <c r="C947" t="s">
        <v>7</v>
      </c>
      <c r="D947" s="5">
        <v>45460</v>
      </c>
      <c r="E947">
        <v>19</v>
      </c>
      <c r="F947" t="s">
        <v>41</v>
      </c>
    </row>
    <row r="948" spans="1:6" x14ac:dyDescent="0.3">
      <c r="A948">
        <v>1947</v>
      </c>
      <c r="B948">
        <v>657</v>
      </c>
      <c r="C948" t="s">
        <v>181</v>
      </c>
      <c r="D948" s="5">
        <v>45577</v>
      </c>
      <c r="E948">
        <v>18</v>
      </c>
      <c r="F948" t="s">
        <v>164</v>
      </c>
    </row>
    <row r="949" spans="1:6" x14ac:dyDescent="0.3">
      <c r="A949">
        <v>1948</v>
      </c>
      <c r="B949">
        <v>566</v>
      </c>
      <c r="C949" t="s">
        <v>73</v>
      </c>
      <c r="D949" s="5">
        <v>45389</v>
      </c>
      <c r="E949">
        <v>8</v>
      </c>
      <c r="F949" t="s">
        <v>105</v>
      </c>
    </row>
    <row r="950" spans="1:6" x14ac:dyDescent="0.3">
      <c r="A950">
        <v>1949</v>
      </c>
      <c r="B950">
        <v>748</v>
      </c>
      <c r="C950" t="s">
        <v>150</v>
      </c>
      <c r="D950" s="5">
        <v>45393</v>
      </c>
      <c r="E950">
        <v>10</v>
      </c>
      <c r="F950" t="s">
        <v>152</v>
      </c>
    </row>
    <row r="951" spans="1:6" x14ac:dyDescent="0.3">
      <c r="A951">
        <v>1950</v>
      </c>
      <c r="B951">
        <v>632</v>
      </c>
      <c r="C951" t="s">
        <v>160</v>
      </c>
      <c r="D951" s="5">
        <v>45427</v>
      </c>
      <c r="E951">
        <v>9</v>
      </c>
      <c r="F951" t="s">
        <v>41</v>
      </c>
    </row>
    <row r="952" spans="1:6" x14ac:dyDescent="0.3">
      <c r="A952">
        <v>1951</v>
      </c>
      <c r="B952">
        <v>657</v>
      </c>
      <c r="C952" t="s">
        <v>117</v>
      </c>
      <c r="D952" s="5">
        <v>45380</v>
      </c>
      <c r="E952">
        <v>4</v>
      </c>
      <c r="F952" t="s">
        <v>119</v>
      </c>
    </row>
    <row r="953" spans="1:6" x14ac:dyDescent="0.3">
      <c r="A953">
        <v>1952</v>
      </c>
      <c r="B953">
        <v>680</v>
      </c>
      <c r="C953" t="s">
        <v>110</v>
      </c>
      <c r="D953" s="5">
        <v>45618</v>
      </c>
      <c r="E953">
        <v>17</v>
      </c>
      <c r="F953" t="s">
        <v>112</v>
      </c>
    </row>
    <row r="954" spans="1:6" x14ac:dyDescent="0.3">
      <c r="A954">
        <v>1953</v>
      </c>
      <c r="B954">
        <v>552</v>
      </c>
      <c r="C954" t="s">
        <v>169</v>
      </c>
      <c r="D954" s="5">
        <v>45657</v>
      </c>
      <c r="E954">
        <v>18</v>
      </c>
      <c r="F954" t="s">
        <v>171</v>
      </c>
    </row>
    <row r="955" spans="1:6" x14ac:dyDescent="0.3">
      <c r="A955">
        <v>1954</v>
      </c>
      <c r="B955">
        <v>636</v>
      </c>
      <c r="C955" t="s">
        <v>73</v>
      </c>
      <c r="D955" s="5">
        <v>45381</v>
      </c>
      <c r="E955">
        <v>1</v>
      </c>
      <c r="F955" t="s">
        <v>105</v>
      </c>
    </row>
    <row r="956" spans="1:6" x14ac:dyDescent="0.3">
      <c r="A956">
        <v>1955</v>
      </c>
      <c r="B956">
        <v>654</v>
      </c>
      <c r="C956" t="s">
        <v>9</v>
      </c>
      <c r="D956" s="5">
        <v>45651</v>
      </c>
      <c r="E956">
        <v>12</v>
      </c>
      <c r="F956" t="s">
        <v>43</v>
      </c>
    </row>
    <row r="957" spans="1:6" x14ac:dyDescent="0.3">
      <c r="A957">
        <v>1956</v>
      </c>
      <c r="B957">
        <v>544</v>
      </c>
      <c r="C957" t="s">
        <v>133</v>
      </c>
      <c r="D957" s="5">
        <v>45566</v>
      </c>
      <c r="E957">
        <v>12</v>
      </c>
      <c r="F957" t="s">
        <v>135</v>
      </c>
    </row>
    <row r="958" spans="1:6" x14ac:dyDescent="0.3">
      <c r="A958">
        <v>1957</v>
      </c>
      <c r="B958">
        <v>628</v>
      </c>
      <c r="C958" t="s">
        <v>145</v>
      </c>
      <c r="D958" s="5">
        <v>45648</v>
      </c>
      <c r="E958">
        <v>20</v>
      </c>
      <c r="F958" t="s">
        <v>135</v>
      </c>
    </row>
    <row r="959" spans="1:6" x14ac:dyDescent="0.3">
      <c r="A959">
        <v>1958</v>
      </c>
      <c r="B959">
        <v>724</v>
      </c>
      <c r="C959" t="s">
        <v>166</v>
      </c>
      <c r="D959" s="5">
        <v>45298</v>
      </c>
      <c r="E959">
        <v>4</v>
      </c>
      <c r="F959" t="s">
        <v>40</v>
      </c>
    </row>
    <row r="960" spans="1:6" x14ac:dyDescent="0.3">
      <c r="A960">
        <v>1959</v>
      </c>
      <c r="B960">
        <v>524</v>
      </c>
      <c r="C960" t="s">
        <v>9</v>
      </c>
      <c r="D960" s="5">
        <v>45324</v>
      </c>
      <c r="E960">
        <v>1</v>
      </c>
      <c r="F960" t="s">
        <v>43</v>
      </c>
    </row>
    <row r="961" spans="1:6" x14ac:dyDescent="0.3">
      <c r="A961">
        <v>1960</v>
      </c>
      <c r="B961">
        <v>744</v>
      </c>
      <c r="C961" t="s">
        <v>133</v>
      </c>
      <c r="D961" s="5">
        <v>45310</v>
      </c>
      <c r="E961">
        <v>4</v>
      </c>
      <c r="F961" t="s">
        <v>135</v>
      </c>
    </row>
    <row r="962" spans="1:6" x14ac:dyDescent="0.3">
      <c r="A962">
        <v>1961</v>
      </c>
      <c r="B962">
        <v>659</v>
      </c>
      <c r="C962" t="s">
        <v>7</v>
      </c>
      <c r="D962" s="5">
        <v>45551</v>
      </c>
      <c r="E962">
        <v>12</v>
      </c>
      <c r="F962" t="s">
        <v>41</v>
      </c>
    </row>
    <row r="963" spans="1:6" x14ac:dyDescent="0.3">
      <c r="A963">
        <v>1962</v>
      </c>
      <c r="B963">
        <v>683</v>
      </c>
      <c r="C963" t="s">
        <v>6</v>
      </c>
      <c r="D963" s="5">
        <v>45461</v>
      </c>
      <c r="E963">
        <v>1</v>
      </c>
      <c r="F963" t="s">
        <v>40</v>
      </c>
    </row>
    <row r="964" spans="1:6" x14ac:dyDescent="0.3">
      <c r="A964">
        <v>1963</v>
      </c>
      <c r="B964">
        <v>683</v>
      </c>
      <c r="C964" t="s">
        <v>126</v>
      </c>
      <c r="D964" s="5">
        <v>45316</v>
      </c>
      <c r="E964">
        <v>3</v>
      </c>
      <c r="F964" t="s">
        <v>42</v>
      </c>
    </row>
    <row r="965" spans="1:6" x14ac:dyDescent="0.3">
      <c r="A965">
        <v>1964</v>
      </c>
      <c r="B965">
        <v>725</v>
      </c>
      <c r="C965" t="s">
        <v>154</v>
      </c>
      <c r="D965" s="5">
        <v>45448</v>
      </c>
      <c r="E965">
        <v>7</v>
      </c>
      <c r="F965" t="s">
        <v>152</v>
      </c>
    </row>
    <row r="966" spans="1:6" x14ac:dyDescent="0.3">
      <c r="A966">
        <v>1965</v>
      </c>
      <c r="B966">
        <v>718</v>
      </c>
      <c r="C966" t="s">
        <v>140</v>
      </c>
      <c r="D966" s="5">
        <v>45420</v>
      </c>
      <c r="E966">
        <v>1</v>
      </c>
      <c r="F966" t="s">
        <v>41</v>
      </c>
    </row>
    <row r="967" spans="1:6" x14ac:dyDescent="0.3">
      <c r="A967">
        <v>1966</v>
      </c>
      <c r="B967">
        <v>520</v>
      </c>
      <c r="C967" t="s">
        <v>11</v>
      </c>
      <c r="D967" s="5">
        <v>45380</v>
      </c>
      <c r="E967">
        <v>19</v>
      </c>
      <c r="F967" t="s">
        <v>105</v>
      </c>
    </row>
    <row r="968" spans="1:6" x14ac:dyDescent="0.3">
      <c r="A968">
        <v>1967</v>
      </c>
      <c r="B968">
        <v>551</v>
      </c>
      <c r="C968" t="s">
        <v>158</v>
      </c>
      <c r="D968" s="5">
        <v>45471</v>
      </c>
      <c r="E968">
        <v>14</v>
      </c>
      <c r="F968" t="s">
        <v>112</v>
      </c>
    </row>
    <row r="969" spans="1:6" x14ac:dyDescent="0.3">
      <c r="A969">
        <v>1968</v>
      </c>
      <c r="B969">
        <v>532</v>
      </c>
      <c r="C969" t="s">
        <v>184</v>
      </c>
      <c r="D969" s="5">
        <v>45443</v>
      </c>
      <c r="E969">
        <v>8</v>
      </c>
      <c r="F969" t="s">
        <v>131</v>
      </c>
    </row>
    <row r="970" spans="1:6" x14ac:dyDescent="0.3">
      <c r="A970">
        <v>1969</v>
      </c>
      <c r="B970">
        <v>571</v>
      </c>
      <c r="C970" t="s">
        <v>160</v>
      </c>
      <c r="D970" s="5">
        <v>45628</v>
      </c>
      <c r="E970">
        <v>9</v>
      </c>
      <c r="F970" t="s">
        <v>41</v>
      </c>
    </row>
    <row r="971" spans="1:6" x14ac:dyDescent="0.3">
      <c r="A971">
        <v>1970</v>
      </c>
      <c r="B971">
        <v>525</v>
      </c>
      <c r="C971" t="s">
        <v>145</v>
      </c>
      <c r="D971" s="5">
        <v>45332</v>
      </c>
      <c r="E971">
        <v>5</v>
      </c>
      <c r="F971" t="s">
        <v>135</v>
      </c>
    </row>
    <row r="972" spans="1:6" x14ac:dyDescent="0.3">
      <c r="A972">
        <v>1971</v>
      </c>
      <c r="B972">
        <v>593</v>
      </c>
      <c r="C972" t="s">
        <v>123</v>
      </c>
      <c r="D972" s="5">
        <v>45423</v>
      </c>
      <c r="E972">
        <v>4</v>
      </c>
      <c r="F972" t="s">
        <v>112</v>
      </c>
    </row>
    <row r="973" spans="1:6" x14ac:dyDescent="0.3">
      <c r="A973">
        <v>1972</v>
      </c>
      <c r="B973">
        <v>655</v>
      </c>
      <c r="C973" t="s">
        <v>117</v>
      </c>
      <c r="D973" s="5">
        <v>45426</v>
      </c>
      <c r="E973">
        <v>14</v>
      </c>
      <c r="F973" t="s">
        <v>119</v>
      </c>
    </row>
    <row r="974" spans="1:6" x14ac:dyDescent="0.3">
      <c r="A974">
        <v>1973</v>
      </c>
      <c r="B974">
        <v>679</v>
      </c>
      <c r="C974" t="s">
        <v>73</v>
      </c>
      <c r="D974" s="5">
        <v>45392</v>
      </c>
      <c r="E974">
        <v>12</v>
      </c>
      <c r="F974" t="s">
        <v>105</v>
      </c>
    </row>
    <row r="975" spans="1:6" x14ac:dyDescent="0.3">
      <c r="A975">
        <v>1974</v>
      </c>
      <c r="B975">
        <v>617</v>
      </c>
      <c r="C975" t="s">
        <v>137</v>
      </c>
      <c r="D975" s="5">
        <v>45544</v>
      </c>
      <c r="E975">
        <v>6</v>
      </c>
      <c r="F975" t="s">
        <v>135</v>
      </c>
    </row>
    <row r="976" spans="1:6" x14ac:dyDescent="0.3">
      <c r="A976">
        <v>1975</v>
      </c>
      <c r="B976">
        <v>710</v>
      </c>
      <c r="C976" t="s">
        <v>11</v>
      </c>
      <c r="D976" s="5">
        <v>45444</v>
      </c>
      <c r="E976">
        <v>1</v>
      </c>
      <c r="F976" t="s">
        <v>105</v>
      </c>
    </row>
    <row r="977" spans="1:6" x14ac:dyDescent="0.3">
      <c r="A977">
        <v>1976</v>
      </c>
      <c r="B977">
        <v>560</v>
      </c>
      <c r="C977" t="s">
        <v>150</v>
      </c>
      <c r="D977" s="5">
        <v>45620</v>
      </c>
      <c r="E977">
        <v>12</v>
      </c>
      <c r="F977" t="s">
        <v>152</v>
      </c>
    </row>
    <row r="978" spans="1:6" x14ac:dyDescent="0.3">
      <c r="A978">
        <v>1977</v>
      </c>
      <c r="B978">
        <v>737</v>
      </c>
      <c r="C978" t="s">
        <v>173</v>
      </c>
      <c r="D978" s="5">
        <v>45502</v>
      </c>
      <c r="E978">
        <v>11</v>
      </c>
      <c r="F978" t="s">
        <v>135</v>
      </c>
    </row>
    <row r="979" spans="1:6" x14ac:dyDescent="0.3">
      <c r="A979">
        <v>1978</v>
      </c>
      <c r="B979">
        <v>606</v>
      </c>
      <c r="C979" t="s">
        <v>181</v>
      </c>
      <c r="D979" s="5">
        <v>45360</v>
      </c>
      <c r="E979">
        <v>5</v>
      </c>
      <c r="F979" t="s">
        <v>164</v>
      </c>
    </row>
    <row r="980" spans="1:6" x14ac:dyDescent="0.3">
      <c r="A980">
        <v>1979</v>
      </c>
      <c r="B980">
        <v>670</v>
      </c>
      <c r="C980" t="s">
        <v>110</v>
      </c>
      <c r="D980" s="5">
        <v>45539</v>
      </c>
      <c r="E980">
        <v>15</v>
      </c>
      <c r="F980" t="s">
        <v>112</v>
      </c>
    </row>
    <row r="981" spans="1:6" x14ac:dyDescent="0.3">
      <c r="A981">
        <v>1980</v>
      </c>
      <c r="B981">
        <v>653</v>
      </c>
      <c r="C981" t="s">
        <v>154</v>
      </c>
      <c r="D981" s="5">
        <v>45635</v>
      </c>
      <c r="E981">
        <v>13</v>
      </c>
      <c r="F981" t="s">
        <v>152</v>
      </c>
    </row>
    <row r="982" spans="1:6" x14ac:dyDescent="0.3">
      <c r="A982">
        <v>1981</v>
      </c>
      <c r="B982">
        <v>584</v>
      </c>
      <c r="C982" t="s">
        <v>181</v>
      </c>
      <c r="D982" s="5">
        <v>45428</v>
      </c>
      <c r="E982">
        <v>4</v>
      </c>
      <c r="F982" t="s">
        <v>164</v>
      </c>
    </row>
    <row r="983" spans="1:6" x14ac:dyDescent="0.3">
      <c r="A983">
        <v>1982</v>
      </c>
      <c r="B983">
        <v>510</v>
      </c>
      <c r="C983" t="s">
        <v>154</v>
      </c>
      <c r="D983" s="5">
        <v>45532</v>
      </c>
      <c r="E983">
        <v>16</v>
      </c>
      <c r="F983" t="s">
        <v>152</v>
      </c>
    </row>
    <row r="984" spans="1:6" x14ac:dyDescent="0.3">
      <c r="A984">
        <v>1983</v>
      </c>
      <c r="B984">
        <v>734</v>
      </c>
      <c r="C984" t="s">
        <v>181</v>
      </c>
      <c r="D984" s="5">
        <v>45411</v>
      </c>
      <c r="E984">
        <v>13</v>
      </c>
      <c r="F984" t="s">
        <v>164</v>
      </c>
    </row>
    <row r="985" spans="1:6" x14ac:dyDescent="0.3">
      <c r="A985">
        <v>1984</v>
      </c>
      <c r="B985">
        <v>659</v>
      </c>
      <c r="C985" t="s">
        <v>158</v>
      </c>
      <c r="D985" s="5">
        <v>45443</v>
      </c>
      <c r="E985">
        <v>6</v>
      </c>
      <c r="F985" t="s">
        <v>112</v>
      </c>
    </row>
    <row r="986" spans="1:6" x14ac:dyDescent="0.3">
      <c r="A986">
        <v>1985</v>
      </c>
      <c r="B986">
        <v>697</v>
      </c>
      <c r="C986" t="s">
        <v>184</v>
      </c>
      <c r="D986" s="5">
        <v>45479</v>
      </c>
      <c r="E986">
        <v>13</v>
      </c>
      <c r="F986" t="s">
        <v>131</v>
      </c>
    </row>
    <row r="987" spans="1:6" x14ac:dyDescent="0.3">
      <c r="A987">
        <v>1986</v>
      </c>
      <c r="B987">
        <v>653</v>
      </c>
      <c r="C987" t="s">
        <v>160</v>
      </c>
      <c r="D987" s="5">
        <v>45640</v>
      </c>
      <c r="E987">
        <v>16</v>
      </c>
      <c r="F987" t="s">
        <v>41</v>
      </c>
    </row>
    <row r="988" spans="1:6" x14ac:dyDescent="0.3">
      <c r="A988">
        <v>1987</v>
      </c>
      <c r="B988">
        <v>697</v>
      </c>
      <c r="C988" t="s">
        <v>6</v>
      </c>
      <c r="D988" s="5">
        <v>45651</v>
      </c>
      <c r="E988">
        <v>4</v>
      </c>
      <c r="F988" t="s">
        <v>40</v>
      </c>
    </row>
    <row r="989" spans="1:6" x14ac:dyDescent="0.3">
      <c r="A989">
        <v>1988</v>
      </c>
      <c r="B989">
        <v>583</v>
      </c>
      <c r="C989" t="s">
        <v>166</v>
      </c>
      <c r="D989" s="5">
        <v>45312</v>
      </c>
      <c r="E989">
        <v>2</v>
      </c>
      <c r="F989" t="s">
        <v>40</v>
      </c>
    </row>
    <row r="990" spans="1:6" x14ac:dyDescent="0.3">
      <c r="A990">
        <v>1989</v>
      </c>
      <c r="B990">
        <v>599</v>
      </c>
      <c r="C990" t="s">
        <v>175</v>
      </c>
      <c r="D990" s="5">
        <v>45337</v>
      </c>
      <c r="E990">
        <v>8</v>
      </c>
      <c r="F990" t="s">
        <v>105</v>
      </c>
    </row>
    <row r="991" spans="1:6" x14ac:dyDescent="0.3">
      <c r="A991">
        <v>1990</v>
      </c>
      <c r="B991">
        <v>632</v>
      </c>
      <c r="C991" t="s">
        <v>121</v>
      </c>
      <c r="D991" s="5">
        <v>45495</v>
      </c>
      <c r="E991">
        <v>17</v>
      </c>
      <c r="F991" t="s">
        <v>105</v>
      </c>
    </row>
    <row r="992" spans="1:6" x14ac:dyDescent="0.3">
      <c r="A992">
        <v>1991</v>
      </c>
      <c r="B992">
        <v>520</v>
      </c>
      <c r="C992" t="s">
        <v>184</v>
      </c>
      <c r="D992" s="5">
        <v>45603</v>
      </c>
      <c r="E992">
        <v>17</v>
      </c>
      <c r="F992" t="s">
        <v>131</v>
      </c>
    </row>
    <row r="993" spans="1:6" x14ac:dyDescent="0.3">
      <c r="A993">
        <v>1992</v>
      </c>
      <c r="B993">
        <v>621</v>
      </c>
      <c r="C993" t="s">
        <v>166</v>
      </c>
      <c r="D993" s="5">
        <v>45388</v>
      </c>
      <c r="E993">
        <v>3</v>
      </c>
      <c r="F993" t="s">
        <v>40</v>
      </c>
    </row>
    <row r="994" spans="1:6" x14ac:dyDescent="0.3">
      <c r="A994">
        <v>1993</v>
      </c>
      <c r="B994">
        <v>651</v>
      </c>
      <c r="C994" t="s">
        <v>150</v>
      </c>
      <c r="D994" s="5">
        <v>45652</v>
      </c>
      <c r="E994">
        <v>5</v>
      </c>
      <c r="F994" t="s">
        <v>152</v>
      </c>
    </row>
    <row r="995" spans="1:6" x14ac:dyDescent="0.3">
      <c r="A995">
        <v>1994</v>
      </c>
      <c r="B995">
        <v>577</v>
      </c>
      <c r="C995" t="s">
        <v>123</v>
      </c>
      <c r="D995" s="5">
        <v>45415</v>
      </c>
      <c r="E995">
        <v>13</v>
      </c>
      <c r="F995" t="s">
        <v>112</v>
      </c>
    </row>
    <row r="996" spans="1:6" x14ac:dyDescent="0.3">
      <c r="A996">
        <v>1995</v>
      </c>
      <c r="B996">
        <v>560</v>
      </c>
      <c r="C996" t="s">
        <v>133</v>
      </c>
      <c r="D996" s="5">
        <v>45498</v>
      </c>
      <c r="E996">
        <v>14</v>
      </c>
      <c r="F996" t="s">
        <v>135</v>
      </c>
    </row>
    <row r="997" spans="1:6" x14ac:dyDescent="0.3">
      <c r="A997">
        <v>1996</v>
      </c>
      <c r="B997">
        <v>647</v>
      </c>
      <c r="C997" t="s">
        <v>175</v>
      </c>
      <c r="D997" s="5">
        <v>45601</v>
      </c>
      <c r="E997">
        <v>3</v>
      </c>
      <c r="F997" t="s">
        <v>105</v>
      </c>
    </row>
    <row r="998" spans="1:6" x14ac:dyDescent="0.3">
      <c r="A998">
        <v>1997</v>
      </c>
      <c r="B998">
        <v>627</v>
      </c>
      <c r="C998" t="s">
        <v>169</v>
      </c>
      <c r="D998" s="5">
        <v>45400</v>
      </c>
      <c r="E998">
        <v>16</v>
      </c>
      <c r="F998" t="s">
        <v>171</v>
      </c>
    </row>
    <row r="999" spans="1:6" x14ac:dyDescent="0.3">
      <c r="A999">
        <v>1998</v>
      </c>
      <c r="B999">
        <v>666</v>
      </c>
      <c r="C999" t="s">
        <v>123</v>
      </c>
      <c r="D999" s="5">
        <v>45366</v>
      </c>
      <c r="E999">
        <v>10</v>
      </c>
      <c r="F999" t="s">
        <v>112</v>
      </c>
    </row>
    <row r="1000" spans="1:6" x14ac:dyDescent="0.3">
      <c r="A1000">
        <v>1999</v>
      </c>
      <c r="B1000">
        <v>670</v>
      </c>
      <c r="C1000" t="s">
        <v>123</v>
      </c>
      <c r="D1000" s="5">
        <v>45332</v>
      </c>
      <c r="E1000">
        <v>12</v>
      </c>
      <c r="F1000" t="s">
        <v>112</v>
      </c>
    </row>
    <row r="1001" spans="1:6" x14ac:dyDescent="0.3">
      <c r="A1001">
        <v>2000</v>
      </c>
      <c r="B1001">
        <v>713</v>
      </c>
      <c r="C1001" t="s">
        <v>160</v>
      </c>
      <c r="D1001" s="5">
        <v>45339</v>
      </c>
      <c r="E1001">
        <v>17</v>
      </c>
      <c r="F1001" t="s">
        <v>41</v>
      </c>
    </row>
  </sheetData>
  <phoneticPr fontId="2" type="noConversion"/>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133EE-01B3-4C2F-8B4E-F58F5279B8BE}">
  <dimension ref="A1:O1001"/>
  <sheetViews>
    <sheetView topLeftCell="A2" zoomScale="145" zoomScaleNormal="145" workbookViewId="0"/>
  </sheetViews>
  <sheetFormatPr defaultRowHeight="14.4" x14ac:dyDescent="0.3"/>
  <cols>
    <col min="1" max="1" width="9" customWidth="1"/>
    <col min="2" max="2" width="12" customWidth="1"/>
    <col min="3" max="3" width="7" customWidth="1"/>
    <col min="4" max="4" width="24.88671875" style="5" customWidth="1"/>
    <col min="5" max="5" width="15.5546875" customWidth="1"/>
    <col min="6" max="6" width="14.21875" customWidth="1"/>
    <col min="8" max="8" width="15.33203125" bestFit="1" customWidth="1"/>
    <col min="10" max="10" width="16" hidden="1" customWidth="1"/>
    <col min="11" max="11" width="17.21875" hidden="1" customWidth="1"/>
    <col min="12" max="12" width="0" hidden="1" customWidth="1"/>
  </cols>
  <sheetData>
    <row r="1" spans="1:15" x14ac:dyDescent="0.3">
      <c r="A1" s="6" t="s">
        <v>0</v>
      </c>
      <c r="B1" s="7" t="s">
        <v>1</v>
      </c>
      <c r="C1" s="8" t="s">
        <v>2</v>
      </c>
      <c r="D1" s="9" t="s">
        <v>3</v>
      </c>
      <c r="E1" s="10" t="s">
        <v>4</v>
      </c>
      <c r="F1" s="10" t="s">
        <v>5</v>
      </c>
      <c r="G1" s="12" t="s">
        <v>685</v>
      </c>
      <c r="H1" s="12" t="s">
        <v>36</v>
      </c>
    </row>
    <row r="2" spans="1:15" x14ac:dyDescent="0.3">
      <c r="A2">
        <v>1001</v>
      </c>
      <c r="B2">
        <v>612</v>
      </c>
      <c r="C2" t="s">
        <v>8</v>
      </c>
      <c r="D2" s="5">
        <v>45418</v>
      </c>
      <c r="E2" t="s">
        <v>15</v>
      </c>
      <c r="F2">
        <v>14</v>
      </c>
      <c r="G2" t="str">
        <f>VLOOKUP(Table28[[#This Row],[SKU]],Supplier_Products[[#All],[Supplier]:[SKU]],3,FALSE)</f>
        <v>Wearable Inc.</v>
      </c>
      <c r="H2" t="str" cm="1">
        <f t="array" ref="H2">_xlfn.XLOOKUP(Table28[[#This Row],[SKU]],Supplier_Products[[#All],[SKU]],Supplier_Products[[#All],[Supplier]])</f>
        <v>Wearable Inc.</v>
      </c>
      <c r="J2" s="3" t="s">
        <v>2</v>
      </c>
      <c r="O2" t="s">
        <v>683</v>
      </c>
    </row>
    <row r="3" spans="1:15" x14ac:dyDescent="0.3">
      <c r="A3">
        <v>1002</v>
      </c>
      <c r="B3">
        <v>516</v>
      </c>
      <c r="C3" t="s">
        <v>8</v>
      </c>
      <c r="D3" s="5">
        <v>45512</v>
      </c>
      <c r="E3" t="s">
        <v>15</v>
      </c>
      <c r="F3">
        <v>19</v>
      </c>
      <c r="G3" t="str">
        <f>VLOOKUP(Table28[[#This Row],[SKU]],Supplier_Products[[#All],[Supplier]:[SKU]],3,FALSE)</f>
        <v>Wearable Inc.</v>
      </c>
      <c r="H3" t="str" cm="1">
        <f t="array" ref="H3">_xlfn.XLOOKUP(Table28[[#This Row],[SKU]],Supplier_Products[[#All],[SKU]],Supplier_Products[[#All],[Supplier]])</f>
        <v>Wearable Inc.</v>
      </c>
      <c r="J3" t="s">
        <v>6</v>
      </c>
    </row>
    <row r="4" spans="1:15" x14ac:dyDescent="0.3">
      <c r="A4">
        <v>1003</v>
      </c>
      <c r="B4">
        <v>545</v>
      </c>
      <c r="C4" t="s">
        <v>156</v>
      </c>
      <c r="D4" s="5">
        <v>45426</v>
      </c>
      <c r="E4" t="s">
        <v>186</v>
      </c>
      <c r="F4">
        <v>5</v>
      </c>
      <c r="G4" t="str">
        <f>VLOOKUP(Table28[[#This Row],[SKU]],Supplier_Products[[#All],[Supplier]:[SKU]],3,FALSE)</f>
        <v>ClickTech</v>
      </c>
      <c r="H4" t="str" cm="1">
        <f t="array" ref="H4">_xlfn.XLOOKUP(Table28[[#This Row],[SKU]],Supplier_Products[[#All],[SKU]],Supplier_Products[[#All],[Supplier]])</f>
        <v>ClickTech</v>
      </c>
      <c r="J4" t="s">
        <v>162</v>
      </c>
    </row>
    <row r="5" spans="1:15" x14ac:dyDescent="0.3">
      <c r="A5">
        <v>1004</v>
      </c>
      <c r="B5">
        <v>544</v>
      </c>
      <c r="C5" t="s">
        <v>181</v>
      </c>
      <c r="D5" s="5">
        <v>45652</v>
      </c>
      <c r="E5" t="s">
        <v>12</v>
      </c>
      <c r="F5">
        <v>7</v>
      </c>
      <c r="G5" t="str">
        <f>VLOOKUP(Table28[[#This Row],[SKU]],Supplier_Products[[#All],[Supplier]:[SKU]],3,FALSE)</f>
        <v>PhotoFrame Inc.</v>
      </c>
      <c r="H5" t="str" cm="1">
        <f t="array" ref="H5">_xlfn.XLOOKUP(Table28[[#This Row],[SKU]],Supplier_Products[[#All],[SKU]],Supplier_Products[[#All],[Supplier]])</f>
        <v>PhotoFrame Inc.</v>
      </c>
      <c r="J5" t="s">
        <v>7</v>
      </c>
    </row>
    <row r="6" spans="1:15" x14ac:dyDescent="0.3">
      <c r="A6">
        <v>1005</v>
      </c>
      <c r="B6">
        <v>545</v>
      </c>
      <c r="C6" t="s">
        <v>158</v>
      </c>
      <c r="D6" s="5">
        <v>45533</v>
      </c>
      <c r="E6" t="s">
        <v>186</v>
      </c>
      <c r="F6">
        <v>12</v>
      </c>
      <c r="G6" t="str">
        <f>VLOOKUP(Table28[[#This Row],[SKU]],Supplier_Products[[#All],[Supplier]:[SKU]],3,FALSE)</f>
        <v>ClickTech</v>
      </c>
      <c r="H6" t="str" cm="1">
        <f t="array" ref="H6">_xlfn.XLOOKUP(Table28[[#This Row],[SKU]],Supplier_Products[[#All],[SKU]],Supplier_Products[[#All],[Supplier]])</f>
        <v>ClickTech</v>
      </c>
      <c r="J6" t="s">
        <v>166</v>
      </c>
    </row>
    <row r="7" spans="1:15" x14ac:dyDescent="0.3">
      <c r="A7">
        <v>1006</v>
      </c>
      <c r="B7">
        <v>594</v>
      </c>
      <c r="C7" t="s">
        <v>142</v>
      </c>
      <c r="D7" s="5">
        <v>45401</v>
      </c>
      <c r="E7" t="s">
        <v>186</v>
      </c>
      <c r="F7">
        <v>12</v>
      </c>
      <c r="G7" t="str">
        <f>VLOOKUP(Table28[[#This Row],[SKU]],Supplier_Products[[#All],[Supplier]:[SKU]],3,FALSE)</f>
        <v>GPUForce</v>
      </c>
      <c r="H7" t="str" cm="1">
        <f t="array" ref="H7">_xlfn.XLOOKUP(Table28[[#This Row],[SKU]],Supplier_Products[[#All],[SKU]],Supplier_Products[[#All],[Supplier]])</f>
        <v>GPUForce</v>
      </c>
      <c r="J7" t="s">
        <v>169</v>
      </c>
      <c r="O7" t="s">
        <v>687</v>
      </c>
    </row>
    <row r="8" spans="1:15" x14ac:dyDescent="0.3">
      <c r="A8">
        <v>1007</v>
      </c>
      <c r="B8">
        <v>661</v>
      </c>
      <c r="C8" t="s">
        <v>140</v>
      </c>
      <c r="D8" s="5">
        <v>45648</v>
      </c>
      <c r="E8" t="s">
        <v>187</v>
      </c>
      <c r="F8">
        <v>2</v>
      </c>
      <c r="G8" t="str">
        <f>VLOOKUP(Table28[[#This Row],[SKU]],Supplier_Products[[#All],[Supplier]:[SKU]],3,FALSE)</f>
        <v>SoundWave</v>
      </c>
      <c r="H8" t="str" cm="1">
        <f t="array" ref="H8">_xlfn.XLOOKUP(Table28[[#This Row],[SKU]],Supplier_Products[[#All],[SKU]],Supplier_Products[[#All],[Supplier]])</f>
        <v>SoundWave</v>
      </c>
      <c r="J8" t="s">
        <v>8</v>
      </c>
    </row>
    <row r="9" spans="1:15" x14ac:dyDescent="0.3">
      <c r="A9">
        <v>1008</v>
      </c>
      <c r="B9">
        <v>726</v>
      </c>
      <c r="C9" t="s">
        <v>10</v>
      </c>
      <c r="D9" s="5">
        <v>45351</v>
      </c>
      <c r="E9" t="s">
        <v>13</v>
      </c>
      <c r="F9">
        <v>8</v>
      </c>
      <c r="G9" t="str">
        <f>VLOOKUP(Table28[[#This Row],[SKU]],Supplier_Products[[#All],[Supplier]:[SKU]],3,FALSE)</f>
        <v>TabletMakers</v>
      </c>
      <c r="H9" t="str" cm="1">
        <f t="array" ref="H9">_xlfn.XLOOKUP(Table28[[#This Row],[SKU]],Supplier_Products[[#All],[SKU]],Supplier_Products[[#All],[Supplier]])</f>
        <v>TabletMakers</v>
      </c>
      <c r="J9" t="s">
        <v>173</v>
      </c>
    </row>
    <row r="10" spans="1:15" x14ac:dyDescent="0.3">
      <c r="A10">
        <v>1009</v>
      </c>
      <c r="B10">
        <v>506</v>
      </c>
      <c r="C10" t="s">
        <v>175</v>
      </c>
      <c r="D10" s="5">
        <v>45638</v>
      </c>
      <c r="E10" t="s">
        <v>186</v>
      </c>
      <c r="F10">
        <v>6</v>
      </c>
      <c r="G10" t="str">
        <f>VLOOKUP(Table28[[#This Row],[SKU]],Supplier_Products[[#All],[Supplier]:[SKU]],3,FALSE)</f>
        <v>DisplayPro</v>
      </c>
      <c r="H10" t="str" cm="1">
        <f t="array" ref="H10">_xlfn.XLOOKUP(Table28[[#This Row],[SKU]],Supplier_Products[[#All],[SKU]],Supplier_Products[[#All],[Supplier]])</f>
        <v>DisplayPro</v>
      </c>
      <c r="J10" t="s">
        <v>9</v>
      </c>
    </row>
    <row r="11" spans="1:15" x14ac:dyDescent="0.3">
      <c r="A11">
        <v>1010</v>
      </c>
      <c r="B11">
        <v>693</v>
      </c>
      <c r="C11" t="s">
        <v>72</v>
      </c>
      <c r="D11" s="5">
        <v>45485</v>
      </c>
      <c r="E11" t="s">
        <v>187</v>
      </c>
      <c r="F11">
        <v>7</v>
      </c>
      <c r="G11" t="str">
        <f>VLOOKUP(Table28[[#This Row],[SKU]],Supplier_Products[[#All],[Supplier]:[SKU]],3,FALSE)</f>
        <v>SoundWave</v>
      </c>
      <c r="H11" t="str" cm="1">
        <f t="array" ref="H11">_xlfn.XLOOKUP(Table28[[#This Row],[SKU]],Supplier_Products[[#All],[SKU]],Supplier_Products[[#All],[Supplier]])</f>
        <v>SoundWave</v>
      </c>
      <c r="J11" t="s">
        <v>175</v>
      </c>
    </row>
    <row r="12" spans="1:15" x14ac:dyDescent="0.3">
      <c r="A12">
        <v>1011</v>
      </c>
      <c r="B12">
        <v>522</v>
      </c>
      <c r="C12" t="s">
        <v>72</v>
      </c>
      <c r="D12" s="5">
        <v>45531</v>
      </c>
      <c r="E12" t="s">
        <v>187</v>
      </c>
      <c r="F12">
        <v>18</v>
      </c>
      <c r="G12" t="str">
        <f>VLOOKUP(Table28[[#This Row],[SKU]],Supplier_Products[[#All],[Supplier]:[SKU]],3,FALSE)</f>
        <v>SoundWave</v>
      </c>
      <c r="H12" t="str" cm="1">
        <f t="array" ref="H12">_xlfn.XLOOKUP(Table28[[#This Row],[SKU]],Supplier_Products[[#All],[SKU]],Supplier_Products[[#All],[Supplier]])</f>
        <v>SoundWave</v>
      </c>
      <c r="J12" t="s">
        <v>10</v>
      </c>
    </row>
    <row r="13" spans="1:15" x14ac:dyDescent="0.3">
      <c r="A13">
        <v>1012</v>
      </c>
      <c r="B13">
        <v>633</v>
      </c>
      <c r="C13" t="s">
        <v>160</v>
      </c>
      <c r="D13" s="5">
        <v>45513</v>
      </c>
      <c r="E13" t="s">
        <v>13</v>
      </c>
      <c r="F13">
        <v>20</v>
      </c>
      <c r="G13" t="str">
        <f>VLOOKUP(Table28[[#This Row],[SKU]],Supplier_Products[[#All],[Supplier]:[SKU]],3,FALSE)</f>
        <v>SoundCo</v>
      </c>
      <c r="H13" t="str" cm="1">
        <f t="array" ref="H13">_xlfn.XLOOKUP(Table28[[#This Row],[SKU]],Supplier_Products[[#All],[SKU]],Supplier_Products[[#All],[Supplier]])</f>
        <v>SoundCo</v>
      </c>
      <c r="J13" t="s">
        <v>178</v>
      </c>
    </row>
    <row r="14" spans="1:15" x14ac:dyDescent="0.3">
      <c r="A14">
        <v>1013</v>
      </c>
      <c r="B14">
        <v>610</v>
      </c>
      <c r="C14" t="s">
        <v>73</v>
      </c>
      <c r="D14" s="5">
        <v>45293</v>
      </c>
      <c r="E14" t="s">
        <v>186</v>
      </c>
      <c r="F14">
        <v>1</v>
      </c>
      <c r="G14" t="str">
        <f>VLOOKUP(Table28[[#This Row],[SKU]],Supplier_Products[[#All],[Supplier]:[SKU]],3,FALSE)</f>
        <v>ClickTech</v>
      </c>
      <c r="H14" t="str" cm="1">
        <f t="array" ref="H14">_xlfn.XLOOKUP(Table28[[#This Row],[SKU]],Supplier_Products[[#All],[SKU]],Supplier_Products[[#All],[Supplier]])</f>
        <v>ClickTech</v>
      </c>
      <c r="J14" t="s">
        <v>11</v>
      </c>
    </row>
    <row r="15" spans="1:15" x14ac:dyDescent="0.3">
      <c r="A15">
        <v>1014</v>
      </c>
      <c r="B15">
        <v>703</v>
      </c>
      <c r="C15" t="s">
        <v>126</v>
      </c>
      <c r="D15" s="5">
        <v>45411</v>
      </c>
      <c r="E15" t="s">
        <v>191</v>
      </c>
      <c r="F15">
        <v>15</v>
      </c>
      <c r="G15" t="str">
        <f>VLOOKUP(Table28[[#This Row],[SKU]],Supplier_Products[[#All],[Supplier]:[SKU]],3,FALSE)</f>
        <v>FitTech</v>
      </c>
      <c r="H15" t="str" cm="1">
        <f t="array" ref="H15">_xlfn.XLOOKUP(Table28[[#This Row],[SKU]],Supplier_Products[[#All],[SKU]],Supplier_Products[[#All],[Supplier]])</f>
        <v>FitTech</v>
      </c>
      <c r="J15" t="s">
        <v>181</v>
      </c>
    </row>
    <row r="16" spans="1:15" x14ac:dyDescent="0.3">
      <c r="A16">
        <v>1015</v>
      </c>
      <c r="B16">
        <v>546</v>
      </c>
      <c r="C16" t="s">
        <v>160</v>
      </c>
      <c r="D16" s="5">
        <v>45514</v>
      </c>
      <c r="E16" t="s">
        <v>13</v>
      </c>
      <c r="F16">
        <v>3</v>
      </c>
      <c r="G16" t="str">
        <f>VLOOKUP(Table28[[#This Row],[SKU]],Supplier_Products[[#All],[Supplier]:[SKU]],3,FALSE)</f>
        <v>SoundCo</v>
      </c>
      <c r="H16" t="str" cm="1">
        <f t="array" ref="H16">_xlfn.XLOOKUP(Table28[[#This Row],[SKU]],Supplier_Products[[#All],[SKU]],Supplier_Products[[#All],[Supplier]])</f>
        <v>SoundCo</v>
      </c>
      <c r="J16" t="s">
        <v>73</v>
      </c>
    </row>
    <row r="17" spans="1:10" x14ac:dyDescent="0.3">
      <c r="A17">
        <v>1016</v>
      </c>
      <c r="B17">
        <v>667</v>
      </c>
      <c r="C17" t="s">
        <v>145</v>
      </c>
      <c r="D17" s="5">
        <v>45587</v>
      </c>
      <c r="E17" t="s">
        <v>190</v>
      </c>
      <c r="F17">
        <v>15</v>
      </c>
      <c r="G17" t="str">
        <f>VLOOKUP(Table28[[#This Row],[SKU]],Supplier_Products[[#All],[Supplier]:[SKU]],3,FALSE)</f>
        <v>BrightHome</v>
      </c>
      <c r="H17" t="str" cm="1">
        <f t="array" ref="H17">_xlfn.XLOOKUP(Table28[[#This Row],[SKU]],Supplier_Products[[#All],[SKU]],Supplier_Products[[#All],[Supplier]])</f>
        <v>BrightHome</v>
      </c>
      <c r="J17" t="s">
        <v>184</v>
      </c>
    </row>
    <row r="18" spans="1:10" x14ac:dyDescent="0.3">
      <c r="A18">
        <v>1017</v>
      </c>
      <c r="B18">
        <v>647</v>
      </c>
      <c r="C18" t="s">
        <v>160</v>
      </c>
      <c r="D18" s="5">
        <v>45378</v>
      </c>
      <c r="E18" t="s">
        <v>13</v>
      </c>
      <c r="F18">
        <v>19</v>
      </c>
      <c r="G18" t="str">
        <f>VLOOKUP(Table28[[#This Row],[SKU]],Supplier_Products[[#All],[Supplier]:[SKU]],3,FALSE)</f>
        <v>SoundCo</v>
      </c>
      <c r="H18" t="str" cm="1">
        <f t="array" ref="H18">_xlfn.XLOOKUP(Table28[[#This Row],[SKU]],Supplier_Products[[#All],[SKU]],Supplier_Products[[#All],[Supplier]])</f>
        <v>SoundCo</v>
      </c>
      <c r="J18" t="s">
        <v>72</v>
      </c>
    </row>
    <row r="19" spans="1:10" x14ac:dyDescent="0.3">
      <c r="A19">
        <v>1018</v>
      </c>
      <c r="B19">
        <v>739</v>
      </c>
      <c r="C19" t="s">
        <v>11</v>
      </c>
      <c r="D19" s="5">
        <v>45538</v>
      </c>
      <c r="E19" t="s">
        <v>12</v>
      </c>
      <c r="F19">
        <v>5</v>
      </c>
      <c r="G19" t="str">
        <f>VLOOKUP(Table28[[#This Row],[SKU]],Supplier_Products[[#All],[Supplier]:[SKU]],3,FALSE)</f>
        <v>ChargePro</v>
      </c>
      <c r="H19" t="str" cm="1">
        <f t="array" ref="H19">_xlfn.XLOOKUP(Table28[[#This Row],[SKU]],Supplier_Products[[#All],[SKU]],Supplier_Products[[#All],[Supplier]])</f>
        <v>ChargePro</v>
      </c>
      <c r="J19" t="s">
        <v>110</v>
      </c>
    </row>
    <row r="20" spans="1:10" x14ac:dyDescent="0.3">
      <c r="A20">
        <v>1019</v>
      </c>
      <c r="B20">
        <v>616</v>
      </c>
      <c r="C20" t="s">
        <v>7</v>
      </c>
      <c r="D20" s="5">
        <v>45570</v>
      </c>
      <c r="E20" t="s">
        <v>13</v>
      </c>
      <c r="F20">
        <v>5</v>
      </c>
      <c r="G20" t="str">
        <f>VLOOKUP(Table28[[#This Row],[SKU]],Supplier_Products[[#All],[Supplier]:[SKU]],3,FALSE)</f>
        <v>SoundCo</v>
      </c>
      <c r="H20" t="str" cm="1">
        <f t="array" ref="H20">_xlfn.XLOOKUP(Table28[[#This Row],[SKU]],Supplier_Products[[#All],[SKU]],Supplier_Products[[#All],[Supplier]])</f>
        <v>SoundCo</v>
      </c>
      <c r="J20" t="s">
        <v>114</v>
      </c>
    </row>
    <row r="21" spans="1:10" x14ac:dyDescent="0.3">
      <c r="A21">
        <v>1020</v>
      </c>
      <c r="B21">
        <v>561</v>
      </c>
      <c r="C21" t="s">
        <v>123</v>
      </c>
      <c r="D21" s="5">
        <v>45437</v>
      </c>
      <c r="E21" t="s">
        <v>189</v>
      </c>
      <c r="F21">
        <v>5</v>
      </c>
      <c r="G21" t="str">
        <f>VLOOKUP(Table28[[#This Row],[SKU]],Supplier_Products[[#All],[Supplier]:[SKU]],3,FALSE)</f>
        <v>VRWorld</v>
      </c>
      <c r="H21" t="str" cm="1">
        <f t="array" ref="H21">_xlfn.XLOOKUP(Table28[[#This Row],[SKU]],Supplier_Products[[#All],[SKU]],Supplier_Products[[#All],[Supplier]])</f>
        <v>VRWorld</v>
      </c>
      <c r="J21" t="s">
        <v>117</v>
      </c>
    </row>
    <row r="22" spans="1:10" x14ac:dyDescent="0.3">
      <c r="A22">
        <v>1021</v>
      </c>
      <c r="B22">
        <v>601</v>
      </c>
      <c r="C22" t="s">
        <v>162</v>
      </c>
      <c r="D22" s="5">
        <v>45438</v>
      </c>
      <c r="E22" t="s">
        <v>189</v>
      </c>
      <c r="F22">
        <v>12</v>
      </c>
      <c r="G22" t="str">
        <f>VLOOKUP(Table28[[#This Row],[SKU]],Supplier_Products[[#All],[Supplier]:[SKU]],3,FALSE)</f>
        <v>AeroTech</v>
      </c>
      <c r="H22" t="str" cm="1">
        <f t="array" ref="H22">_xlfn.XLOOKUP(Table28[[#This Row],[SKU]],Supplier_Products[[#All],[SKU]],Supplier_Products[[#All],[Supplier]])</f>
        <v>AeroTech</v>
      </c>
      <c r="J22" t="s">
        <v>121</v>
      </c>
    </row>
    <row r="23" spans="1:10" x14ac:dyDescent="0.3">
      <c r="A23">
        <v>1022</v>
      </c>
      <c r="B23">
        <v>527</v>
      </c>
      <c r="C23" t="s">
        <v>129</v>
      </c>
      <c r="D23" s="5">
        <v>45640</v>
      </c>
      <c r="E23" t="s">
        <v>12</v>
      </c>
      <c r="F23">
        <v>20</v>
      </c>
      <c r="G23" t="str">
        <f>VLOOKUP(Table28[[#This Row],[SKU]],Supplier_Products[[#All],[Supplier]:[SKU]],3,FALSE)</f>
        <v>StreamIt</v>
      </c>
      <c r="H23" t="str" cm="1">
        <f t="array" ref="H23">_xlfn.XLOOKUP(Table28[[#This Row],[SKU]],Supplier_Products[[#All],[SKU]],Supplier_Products[[#All],[Supplier]])</f>
        <v>StreamIt</v>
      </c>
      <c r="J23" t="s">
        <v>123</v>
      </c>
    </row>
    <row r="24" spans="1:10" x14ac:dyDescent="0.3">
      <c r="A24">
        <v>1023</v>
      </c>
      <c r="B24">
        <v>649</v>
      </c>
      <c r="C24" t="s">
        <v>148</v>
      </c>
      <c r="D24" s="5">
        <v>45494</v>
      </c>
      <c r="E24" t="s">
        <v>12</v>
      </c>
      <c r="F24">
        <v>18</v>
      </c>
      <c r="G24" t="str">
        <f>VLOOKUP(Table28[[#This Row],[SKU]],Supplier_Products[[#All],[Supplier]:[SKU]],3,FALSE)</f>
        <v>ChargePro</v>
      </c>
      <c r="H24" t="str" cm="1">
        <f t="array" ref="H24">_xlfn.XLOOKUP(Table28[[#This Row],[SKU]],Supplier_Products[[#All],[SKU]],Supplier_Products[[#All],[Supplier]])</f>
        <v>ChargePro</v>
      </c>
      <c r="J24" t="s">
        <v>126</v>
      </c>
    </row>
    <row r="25" spans="1:10" x14ac:dyDescent="0.3">
      <c r="A25">
        <v>1024</v>
      </c>
      <c r="B25">
        <v>583</v>
      </c>
      <c r="C25" t="s">
        <v>126</v>
      </c>
      <c r="D25" s="5">
        <v>45519</v>
      </c>
      <c r="E25" t="s">
        <v>191</v>
      </c>
      <c r="F25">
        <v>8</v>
      </c>
      <c r="G25" t="str">
        <f>VLOOKUP(Table28[[#This Row],[SKU]],Supplier_Products[[#All],[Supplier]:[SKU]],3,FALSE)</f>
        <v>FitTech</v>
      </c>
      <c r="H25" t="str" cm="1">
        <f t="array" ref="H25">_xlfn.XLOOKUP(Table28[[#This Row],[SKU]],Supplier_Products[[#All],[SKU]],Supplier_Products[[#All],[Supplier]])</f>
        <v>FitTech</v>
      </c>
      <c r="J25" t="s">
        <v>129</v>
      </c>
    </row>
    <row r="26" spans="1:10" x14ac:dyDescent="0.3">
      <c r="A26">
        <v>1025</v>
      </c>
      <c r="B26">
        <v>713</v>
      </c>
      <c r="C26" t="s">
        <v>142</v>
      </c>
      <c r="D26" s="5">
        <v>45389</v>
      </c>
      <c r="E26" t="s">
        <v>186</v>
      </c>
      <c r="F26">
        <v>2</v>
      </c>
      <c r="G26" t="str">
        <f>VLOOKUP(Table28[[#This Row],[SKU]],Supplier_Products[[#All],[Supplier]:[SKU]],3,FALSE)</f>
        <v>GPUForce</v>
      </c>
      <c r="H26" t="str" cm="1">
        <f t="array" ref="H26">_xlfn.XLOOKUP(Table28[[#This Row],[SKU]],Supplier_Products[[#All],[SKU]],Supplier_Products[[#All],[Supplier]])</f>
        <v>GPUForce</v>
      </c>
      <c r="J26" t="s">
        <v>133</v>
      </c>
    </row>
    <row r="27" spans="1:10" x14ac:dyDescent="0.3">
      <c r="A27">
        <v>1026</v>
      </c>
      <c r="B27">
        <v>549</v>
      </c>
      <c r="C27" t="s">
        <v>7</v>
      </c>
      <c r="D27" s="5">
        <v>45510</v>
      </c>
      <c r="E27" t="s">
        <v>13</v>
      </c>
      <c r="F27">
        <v>6</v>
      </c>
      <c r="G27" t="str">
        <f>VLOOKUP(Table28[[#This Row],[SKU]],Supplier_Products[[#All],[Supplier]:[SKU]],3,FALSE)</f>
        <v>SoundCo</v>
      </c>
      <c r="H27" t="str" cm="1">
        <f t="array" ref="H27">_xlfn.XLOOKUP(Table28[[#This Row],[SKU]],Supplier_Products[[#All],[SKU]],Supplier_Products[[#All],[Supplier]])</f>
        <v>SoundCo</v>
      </c>
      <c r="J27" t="s">
        <v>137</v>
      </c>
    </row>
    <row r="28" spans="1:10" x14ac:dyDescent="0.3">
      <c r="A28">
        <v>1027</v>
      </c>
      <c r="B28">
        <v>544</v>
      </c>
      <c r="C28" t="s">
        <v>123</v>
      </c>
      <c r="D28" s="5">
        <v>45557</v>
      </c>
      <c r="E28" t="s">
        <v>189</v>
      </c>
      <c r="F28">
        <v>16</v>
      </c>
      <c r="G28" t="str">
        <f>VLOOKUP(Table28[[#This Row],[SKU]],Supplier_Products[[#All],[Supplier]:[SKU]],3,FALSE)</f>
        <v>VRWorld</v>
      </c>
      <c r="H28" t="str" cm="1">
        <f t="array" ref="H28">_xlfn.XLOOKUP(Table28[[#This Row],[SKU]],Supplier_Products[[#All],[SKU]],Supplier_Products[[#All],[Supplier]])</f>
        <v>VRWorld</v>
      </c>
      <c r="J28" t="s">
        <v>140</v>
      </c>
    </row>
    <row r="29" spans="1:10" x14ac:dyDescent="0.3">
      <c r="A29">
        <v>1028</v>
      </c>
      <c r="B29">
        <v>636</v>
      </c>
      <c r="C29" t="s">
        <v>154</v>
      </c>
      <c r="D29" s="5">
        <v>45309</v>
      </c>
      <c r="E29" t="s">
        <v>187</v>
      </c>
      <c r="F29">
        <v>5</v>
      </c>
      <c r="G29" t="str">
        <f>VLOOKUP(Table28[[#This Row],[SKU]],Supplier_Products[[#All],[Supplier]:[SKU]],3,FALSE)</f>
        <v>ShutterPro</v>
      </c>
      <c r="H29" t="str" cm="1">
        <f t="array" ref="H29">_xlfn.XLOOKUP(Table28[[#This Row],[SKU]],Supplier_Products[[#All],[SKU]],Supplier_Products[[#All],[Supplier]])</f>
        <v>ShutterPro</v>
      </c>
      <c r="J29" t="s">
        <v>142</v>
      </c>
    </row>
    <row r="30" spans="1:10" x14ac:dyDescent="0.3">
      <c r="A30">
        <v>1029</v>
      </c>
      <c r="B30">
        <v>577</v>
      </c>
      <c r="C30" t="s">
        <v>181</v>
      </c>
      <c r="D30" s="5">
        <v>45426</v>
      </c>
      <c r="E30" t="s">
        <v>12</v>
      </c>
      <c r="F30">
        <v>14</v>
      </c>
      <c r="G30" t="str">
        <f>VLOOKUP(Table28[[#This Row],[SKU]],Supplier_Products[[#All],[Supplier]:[SKU]],3,FALSE)</f>
        <v>PhotoFrame Inc.</v>
      </c>
      <c r="H30" t="str" cm="1">
        <f t="array" ref="H30">_xlfn.XLOOKUP(Table28[[#This Row],[SKU]],Supplier_Products[[#All],[SKU]],Supplier_Products[[#All],[Supplier]])</f>
        <v>PhotoFrame Inc.</v>
      </c>
      <c r="J30" t="s">
        <v>145</v>
      </c>
    </row>
    <row r="31" spans="1:10" x14ac:dyDescent="0.3">
      <c r="A31">
        <v>1030</v>
      </c>
      <c r="B31">
        <v>615</v>
      </c>
      <c r="C31" t="s">
        <v>10</v>
      </c>
      <c r="D31" s="5">
        <v>45331</v>
      </c>
      <c r="E31" t="s">
        <v>13</v>
      </c>
      <c r="F31">
        <v>20</v>
      </c>
      <c r="G31" t="str">
        <f>VLOOKUP(Table28[[#This Row],[SKU]],Supplier_Products[[#All],[Supplier]:[SKU]],3,FALSE)</f>
        <v>TabletMakers</v>
      </c>
      <c r="H31" t="str" cm="1">
        <f t="array" ref="H31">_xlfn.XLOOKUP(Table28[[#This Row],[SKU]],Supplier_Products[[#All],[SKU]],Supplier_Products[[#All],[Supplier]])</f>
        <v>TabletMakers</v>
      </c>
      <c r="J31" t="s">
        <v>148</v>
      </c>
    </row>
    <row r="32" spans="1:10" x14ac:dyDescent="0.3">
      <c r="A32">
        <v>1031</v>
      </c>
      <c r="B32">
        <v>637</v>
      </c>
      <c r="C32" t="s">
        <v>184</v>
      </c>
      <c r="D32" s="5">
        <v>45456</v>
      </c>
      <c r="E32" t="s">
        <v>189</v>
      </c>
      <c r="F32">
        <v>6</v>
      </c>
      <c r="G32" t="str">
        <f>VLOOKUP(Table28[[#This Row],[SKU]],Supplier_Products[[#All],[Supplier]:[SKU]],3,FALSE)</f>
        <v>VisionTech</v>
      </c>
      <c r="H32" t="str" cm="1">
        <f t="array" ref="H32">_xlfn.XLOOKUP(Table28[[#This Row],[SKU]],Supplier_Products[[#All],[SKU]],Supplier_Products[[#All],[Supplier]])</f>
        <v>VisionTech</v>
      </c>
      <c r="J32" t="s">
        <v>150</v>
      </c>
    </row>
    <row r="33" spans="1:10" x14ac:dyDescent="0.3">
      <c r="A33">
        <v>1032</v>
      </c>
      <c r="B33">
        <v>524</v>
      </c>
      <c r="C33" t="s">
        <v>166</v>
      </c>
      <c r="D33" s="5">
        <v>45398</v>
      </c>
      <c r="E33" t="s">
        <v>191</v>
      </c>
      <c r="F33">
        <v>17</v>
      </c>
      <c r="G33" t="str">
        <f>VLOOKUP(Table28[[#This Row],[SKU]],Supplier_Products[[#All],[Supplier]:[SKU]],3,FALSE)</f>
        <v>BookTech</v>
      </c>
      <c r="H33" t="str" cm="1">
        <f t="array" ref="H33">_xlfn.XLOOKUP(Table28[[#This Row],[SKU]],Supplier_Products[[#All],[SKU]],Supplier_Products[[#All],[Supplier]])</f>
        <v>BookTech</v>
      </c>
      <c r="J33" t="s">
        <v>154</v>
      </c>
    </row>
    <row r="34" spans="1:10" x14ac:dyDescent="0.3">
      <c r="A34">
        <v>1033</v>
      </c>
      <c r="B34">
        <v>700</v>
      </c>
      <c r="C34" t="s">
        <v>72</v>
      </c>
      <c r="D34" s="5">
        <v>45612</v>
      </c>
      <c r="E34" t="s">
        <v>187</v>
      </c>
      <c r="F34">
        <v>12</v>
      </c>
      <c r="G34" t="str">
        <f>VLOOKUP(Table28[[#This Row],[SKU]],Supplier_Products[[#All],[Supplier]:[SKU]],3,FALSE)</f>
        <v>SoundWave</v>
      </c>
      <c r="H34" t="str" cm="1">
        <f t="array" ref="H34">_xlfn.XLOOKUP(Table28[[#This Row],[SKU]],Supplier_Products[[#All],[SKU]],Supplier_Products[[#All],[Supplier]])</f>
        <v>SoundWave</v>
      </c>
      <c r="J34" t="s">
        <v>156</v>
      </c>
    </row>
    <row r="35" spans="1:10" x14ac:dyDescent="0.3">
      <c r="A35">
        <v>1034</v>
      </c>
      <c r="B35">
        <v>722</v>
      </c>
      <c r="C35" t="s">
        <v>158</v>
      </c>
      <c r="D35" s="5">
        <v>45387</v>
      </c>
      <c r="E35" t="s">
        <v>186</v>
      </c>
      <c r="F35">
        <v>15</v>
      </c>
      <c r="G35" t="str">
        <f>VLOOKUP(Table28[[#This Row],[SKU]],Supplier_Products[[#All],[Supplier]:[SKU]],3,FALSE)</f>
        <v>ClickTech</v>
      </c>
      <c r="H35" t="str" cm="1">
        <f t="array" ref="H35">_xlfn.XLOOKUP(Table28[[#This Row],[SKU]],Supplier_Products[[#All],[SKU]],Supplier_Products[[#All],[Supplier]])</f>
        <v>ClickTech</v>
      </c>
      <c r="J35" t="s">
        <v>158</v>
      </c>
    </row>
    <row r="36" spans="1:10" x14ac:dyDescent="0.3">
      <c r="A36">
        <v>1035</v>
      </c>
      <c r="B36">
        <v>689</v>
      </c>
      <c r="C36" t="s">
        <v>140</v>
      </c>
      <c r="D36" s="5">
        <v>45339</v>
      </c>
      <c r="E36" t="s">
        <v>187</v>
      </c>
      <c r="F36">
        <v>8</v>
      </c>
      <c r="G36" t="str">
        <f>VLOOKUP(Table28[[#This Row],[SKU]],Supplier_Products[[#All],[Supplier]:[SKU]],3,FALSE)</f>
        <v>SoundWave</v>
      </c>
      <c r="H36" t="str" cm="1">
        <f t="array" ref="H36">_xlfn.XLOOKUP(Table28[[#This Row],[SKU]],Supplier_Products[[#All],[SKU]],Supplier_Products[[#All],[Supplier]])</f>
        <v>SoundWave</v>
      </c>
      <c r="J36" t="s">
        <v>160</v>
      </c>
    </row>
    <row r="37" spans="1:10" x14ac:dyDescent="0.3">
      <c r="A37">
        <v>1036</v>
      </c>
      <c r="B37">
        <v>638</v>
      </c>
      <c r="C37" t="s">
        <v>137</v>
      </c>
      <c r="D37" s="5">
        <v>45590</v>
      </c>
      <c r="E37" t="s">
        <v>188</v>
      </c>
      <c r="F37">
        <v>14</v>
      </c>
      <c r="G37" t="str">
        <f>VLOOKUP(Table28[[#This Row],[SKU]],Supplier_Products[[#All],[Supplier]:[SKU]],3,FALSE)</f>
        <v>CleanBot</v>
      </c>
      <c r="H37" t="str" cm="1">
        <f t="array" ref="H37">_xlfn.XLOOKUP(Table28[[#This Row],[SKU]],Supplier_Products[[#All],[SKU]],Supplier_Products[[#All],[Supplier]])</f>
        <v>CleanBot</v>
      </c>
    </row>
    <row r="38" spans="1:10" x14ac:dyDescent="0.3">
      <c r="A38">
        <v>1037</v>
      </c>
      <c r="B38">
        <v>528</v>
      </c>
      <c r="C38" t="s">
        <v>158</v>
      </c>
      <c r="D38" s="5">
        <v>45523</v>
      </c>
      <c r="E38" t="s">
        <v>186</v>
      </c>
      <c r="F38">
        <v>17</v>
      </c>
      <c r="G38" t="str">
        <f>VLOOKUP(Table28[[#This Row],[SKU]],Supplier_Products[[#All],[Supplier]:[SKU]],3,FALSE)</f>
        <v>ClickTech</v>
      </c>
      <c r="H38" t="str" cm="1">
        <f t="array" ref="H38">_xlfn.XLOOKUP(Table28[[#This Row],[SKU]],Supplier_Products[[#All],[SKU]],Supplier_Products[[#All],[Supplier]])</f>
        <v>ClickTech</v>
      </c>
    </row>
    <row r="39" spans="1:10" x14ac:dyDescent="0.3">
      <c r="A39">
        <v>1038</v>
      </c>
      <c r="B39">
        <v>638</v>
      </c>
      <c r="C39" t="s">
        <v>158</v>
      </c>
      <c r="D39" s="5">
        <v>45652</v>
      </c>
      <c r="E39" t="s">
        <v>186</v>
      </c>
      <c r="F39">
        <v>6</v>
      </c>
      <c r="G39" t="str">
        <f>VLOOKUP(Table28[[#This Row],[SKU]],Supplier_Products[[#All],[Supplier]:[SKU]],3,FALSE)</f>
        <v>ClickTech</v>
      </c>
      <c r="H39" t="str" cm="1">
        <f t="array" ref="H39">_xlfn.XLOOKUP(Table28[[#This Row],[SKU]],Supplier_Products[[#All],[SKU]],Supplier_Products[[#All],[Supplier]])</f>
        <v>ClickTech</v>
      </c>
    </row>
    <row r="40" spans="1:10" x14ac:dyDescent="0.3">
      <c r="A40">
        <v>1039</v>
      </c>
      <c r="B40">
        <v>634</v>
      </c>
      <c r="C40" t="s">
        <v>117</v>
      </c>
      <c r="D40" s="5">
        <v>45580</v>
      </c>
      <c r="E40" t="s">
        <v>190</v>
      </c>
      <c r="F40">
        <v>19</v>
      </c>
      <c r="G40" t="str">
        <f>VLOOKUP(Table28[[#This Row],[SKU]],Supplier_Products[[#All],[Supplier]:[SKU]],3,FALSE)</f>
        <v>DataSafe</v>
      </c>
      <c r="H40" t="str" cm="1">
        <f t="array" ref="H40">_xlfn.XLOOKUP(Table28[[#This Row],[SKU]],Supplier_Products[[#All],[SKU]],Supplier_Products[[#All],[Supplier]])</f>
        <v>DataSafe</v>
      </c>
    </row>
    <row r="41" spans="1:10" x14ac:dyDescent="0.3">
      <c r="A41">
        <v>1040</v>
      </c>
      <c r="B41">
        <v>733</v>
      </c>
      <c r="C41" t="s">
        <v>156</v>
      </c>
      <c r="D41" s="5">
        <v>45423</v>
      </c>
      <c r="E41" t="s">
        <v>186</v>
      </c>
      <c r="F41">
        <v>10</v>
      </c>
      <c r="G41" t="str">
        <f>VLOOKUP(Table28[[#This Row],[SKU]],Supplier_Products[[#All],[Supplier]:[SKU]],3,FALSE)</f>
        <v>ClickTech</v>
      </c>
      <c r="H41" t="str" cm="1">
        <f t="array" ref="H41">_xlfn.XLOOKUP(Table28[[#This Row],[SKU]],Supplier_Products[[#All],[SKU]],Supplier_Products[[#All],[Supplier]])</f>
        <v>ClickTech</v>
      </c>
    </row>
    <row r="42" spans="1:10" x14ac:dyDescent="0.3">
      <c r="A42">
        <v>1041</v>
      </c>
      <c r="B42">
        <v>739</v>
      </c>
      <c r="C42" t="s">
        <v>72</v>
      </c>
      <c r="D42" s="5">
        <v>45328</v>
      </c>
      <c r="E42" t="s">
        <v>187</v>
      </c>
      <c r="F42">
        <v>13</v>
      </c>
      <c r="G42" t="str">
        <f>VLOOKUP(Table28[[#This Row],[SKU]],Supplier_Products[[#All],[Supplier]:[SKU]],3,FALSE)</f>
        <v>SoundWave</v>
      </c>
      <c r="H42" t="str" cm="1">
        <f t="array" ref="H42">_xlfn.XLOOKUP(Table28[[#This Row],[SKU]],Supplier_Products[[#All],[SKU]],Supplier_Products[[#All],[Supplier]])</f>
        <v>SoundWave</v>
      </c>
    </row>
    <row r="43" spans="1:10" x14ac:dyDescent="0.3">
      <c r="A43">
        <v>1042</v>
      </c>
      <c r="B43">
        <v>566</v>
      </c>
      <c r="C43" t="s">
        <v>73</v>
      </c>
      <c r="D43" s="5">
        <v>45348</v>
      </c>
      <c r="E43" t="s">
        <v>186</v>
      </c>
      <c r="F43">
        <v>8</v>
      </c>
      <c r="G43" t="str">
        <f>VLOOKUP(Table28[[#This Row],[SKU]],Supplier_Products[[#All],[Supplier]:[SKU]],3,FALSE)</f>
        <v>ClickTech</v>
      </c>
      <c r="H43" t="str" cm="1">
        <f t="array" ref="H43">_xlfn.XLOOKUP(Table28[[#This Row],[SKU]],Supplier_Products[[#All],[SKU]],Supplier_Products[[#All],[Supplier]])</f>
        <v>ClickTech</v>
      </c>
    </row>
    <row r="44" spans="1:10" x14ac:dyDescent="0.3">
      <c r="A44">
        <v>1043</v>
      </c>
      <c r="B44">
        <v>571</v>
      </c>
      <c r="C44" t="s">
        <v>162</v>
      </c>
      <c r="D44" s="5">
        <v>45548</v>
      </c>
      <c r="E44" t="s">
        <v>189</v>
      </c>
      <c r="F44">
        <v>18</v>
      </c>
      <c r="G44" t="str">
        <f>VLOOKUP(Table28[[#This Row],[SKU]],Supplier_Products[[#All],[Supplier]:[SKU]],3,FALSE)</f>
        <v>AeroTech</v>
      </c>
      <c r="H44" t="str" cm="1">
        <f t="array" ref="H44">_xlfn.XLOOKUP(Table28[[#This Row],[SKU]],Supplier_Products[[#All],[SKU]],Supplier_Products[[#All],[Supplier]])</f>
        <v>AeroTech</v>
      </c>
    </row>
    <row r="45" spans="1:10" x14ac:dyDescent="0.3">
      <c r="A45">
        <v>1044</v>
      </c>
      <c r="B45">
        <v>696</v>
      </c>
      <c r="C45" t="s">
        <v>154</v>
      </c>
      <c r="D45" s="5">
        <v>45652</v>
      </c>
      <c r="E45" t="s">
        <v>187</v>
      </c>
      <c r="F45">
        <v>14</v>
      </c>
      <c r="G45" t="str">
        <f>VLOOKUP(Table28[[#This Row],[SKU]],Supplier_Products[[#All],[Supplier]:[SKU]],3,FALSE)</f>
        <v>ShutterPro</v>
      </c>
      <c r="H45" t="str" cm="1">
        <f t="array" ref="H45">_xlfn.XLOOKUP(Table28[[#This Row],[SKU]],Supplier_Products[[#All],[SKU]],Supplier_Products[[#All],[Supplier]])</f>
        <v>ShutterPro</v>
      </c>
    </row>
    <row r="46" spans="1:10" x14ac:dyDescent="0.3">
      <c r="A46">
        <v>1045</v>
      </c>
      <c r="B46">
        <v>521</v>
      </c>
      <c r="C46" t="s">
        <v>175</v>
      </c>
      <c r="D46" s="5">
        <v>45317</v>
      </c>
      <c r="E46" t="s">
        <v>186</v>
      </c>
      <c r="F46">
        <v>5</v>
      </c>
      <c r="G46" t="str">
        <f>VLOOKUP(Table28[[#This Row],[SKU]],Supplier_Products[[#All],[Supplier]:[SKU]],3,FALSE)</f>
        <v>DisplayPro</v>
      </c>
      <c r="H46" t="str" cm="1">
        <f t="array" ref="H46">_xlfn.XLOOKUP(Table28[[#This Row],[SKU]],Supplier_Products[[#All],[SKU]],Supplier_Products[[#All],[Supplier]])</f>
        <v>DisplayPro</v>
      </c>
    </row>
    <row r="47" spans="1:10" x14ac:dyDescent="0.3">
      <c r="A47">
        <v>1046</v>
      </c>
      <c r="B47">
        <v>514</v>
      </c>
      <c r="C47" t="s">
        <v>154</v>
      </c>
      <c r="D47" s="5">
        <v>45447</v>
      </c>
      <c r="E47" t="s">
        <v>187</v>
      </c>
      <c r="F47">
        <v>14</v>
      </c>
      <c r="G47" t="str">
        <f>VLOOKUP(Table28[[#This Row],[SKU]],Supplier_Products[[#All],[Supplier]:[SKU]],3,FALSE)</f>
        <v>ShutterPro</v>
      </c>
      <c r="H47" t="str" cm="1">
        <f t="array" ref="H47">_xlfn.XLOOKUP(Table28[[#This Row],[SKU]],Supplier_Products[[#All],[SKU]],Supplier_Products[[#All],[Supplier]])</f>
        <v>ShutterPro</v>
      </c>
    </row>
    <row r="48" spans="1:10" x14ac:dyDescent="0.3">
      <c r="A48">
        <v>1047</v>
      </c>
      <c r="B48">
        <v>572</v>
      </c>
      <c r="C48" t="s">
        <v>117</v>
      </c>
      <c r="D48" s="5">
        <v>45436</v>
      </c>
      <c r="E48" t="s">
        <v>190</v>
      </c>
      <c r="F48">
        <v>15</v>
      </c>
      <c r="G48" t="str">
        <f>VLOOKUP(Table28[[#This Row],[SKU]],Supplier_Products[[#All],[Supplier]:[SKU]],3,FALSE)</f>
        <v>DataSafe</v>
      </c>
      <c r="H48" t="str" cm="1">
        <f t="array" ref="H48">_xlfn.XLOOKUP(Table28[[#This Row],[SKU]],Supplier_Products[[#All],[SKU]],Supplier_Products[[#All],[Supplier]])</f>
        <v>DataSafe</v>
      </c>
    </row>
    <row r="49" spans="1:8" x14ac:dyDescent="0.3">
      <c r="A49">
        <v>1048</v>
      </c>
      <c r="B49">
        <v>725</v>
      </c>
      <c r="C49" t="s">
        <v>117</v>
      </c>
      <c r="D49" s="5">
        <v>45404</v>
      </c>
      <c r="E49" t="s">
        <v>190</v>
      </c>
      <c r="F49">
        <v>18</v>
      </c>
      <c r="G49" t="str">
        <f>VLOOKUP(Table28[[#This Row],[SKU]],Supplier_Products[[#All],[Supplier]:[SKU]],3,FALSE)</f>
        <v>DataSafe</v>
      </c>
      <c r="H49" t="str" cm="1">
        <f t="array" ref="H49">_xlfn.XLOOKUP(Table28[[#This Row],[SKU]],Supplier_Products[[#All],[SKU]],Supplier_Products[[#All],[Supplier]])</f>
        <v>DataSafe</v>
      </c>
    </row>
    <row r="50" spans="1:8" x14ac:dyDescent="0.3">
      <c r="A50">
        <v>1049</v>
      </c>
      <c r="B50">
        <v>564</v>
      </c>
      <c r="C50" t="s">
        <v>6</v>
      </c>
      <c r="D50" s="5">
        <v>45547</v>
      </c>
      <c r="E50" t="s">
        <v>12</v>
      </c>
      <c r="F50">
        <v>9</v>
      </c>
      <c r="G50" t="str">
        <f>VLOOKUP(Table28[[#This Row],[SKU]],Supplier_Products[[#All],[Supplier]:[SKU]],3,FALSE)</f>
        <v>TechCorp</v>
      </c>
      <c r="H50" t="str" cm="1">
        <f t="array" ref="H50">_xlfn.XLOOKUP(Table28[[#This Row],[SKU]],Supplier_Products[[#All],[SKU]],Supplier_Products[[#All],[Supplier]])</f>
        <v>TechCorp</v>
      </c>
    </row>
    <row r="51" spans="1:8" x14ac:dyDescent="0.3">
      <c r="A51">
        <v>1050</v>
      </c>
      <c r="B51">
        <v>530</v>
      </c>
      <c r="C51" t="s">
        <v>178</v>
      </c>
      <c r="D51" s="5">
        <v>45598</v>
      </c>
      <c r="E51" t="s">
        <v>13</v>
      </c>
      <c r="F51">
        <v>18</v>
      </c>
      <c r="G51" t="str">
        <f>VLOOKUP(Table28[[#This Row],[SKU]],Supplier_Products[[#All],[Supplier]:[SKU]],3,FALSE)</f>
        <v>DockIt</v>
      </c>
      <c r="H51" t="str" cm="1">
        <f t="array" ref="H51">_xlfn.XLOOKUP(Table28[[#This Row],[SKU]],Supplier_Products[[#All],[SKU]],Supplier_Products[[#All],[Supplier]])</f>
        <v>DockIt</v>
      </c>
    </row>
    <row r="52" spans="1:8" x14ac:dyDescent="0.3">
      <c r="A52">
        <v>1051</v>
      </c>
      <c r="B52">
        <v>606</v>
      </c>
      <c r="C52" t="s">
        <v>7</v>
      </c>
      <c r="D52" s="5">
        <v>45597</v>
      </c>
      <c r="E52" t="s">
        <v>13</v>
      </c>
      <c r="F52">
        <v>10</v>
      </c>
      <c r="G52" t="str">
        <f>VLOOKUP(Table28[[#This Row],[SKU]],Supplier_Products[[#All],[Supplier]:[SKU]],3,FALSE)</f>
        <v>SoundCo</v>
      </c>
      <c r="H52" t="str" cm="1">
        <f t="array" ref="H52">_xlfn.XLOOKUP(Table28[[#This Row],[SKU]],Supplier_Products[[#All],[SKU]],Supplier_Products[[#All],[Supplier]])</f>
        <v>SoundCo</v>
      </c>
    </row>
    <row r="53" spans="1:8" x14ac:dyDescent="0.3">
      <c r="A53">
        <v>1052</v>
      </c>
      <c r="B53">
        <v>563</v>
      </c>
      <c r="C53" t="s">
        <v>150</v>
      </c>
      <c r="D53" s="5">
        <v>45562</v>
      </c>
      <c r="E53" t="s">
        <v>187</v>
      </c>
      <c r="F53">
        <v>1</v>
      </c>
      <c r="G53" t="str">
        <f>VLOOKUP(Table28[[#This Row],[SKU]],Supplier_Products[[#All],[Supplier]:[SKU]],3,FALSE)</f>
        <v>ShutterPro</v>
      </c>
      <c r="H53" t="str" cm="1">
        <f t="array" ref="H53">_xlfn.XLOOKUP(Table28[[#This Row],[SKU]],Supplier_Products[[#All],[SKU]],Supplier_Products[[#All],[Supplier]])</f>
        <v>ShutterPro</v>
      </c>
    </row>
    <row r="54" spans="1:8" x14ac:dyDescent="0.3">
      <c r="A54">
        <v>1053</v>
      </c>
      <c r="B54">
        <v>633</v>
      </c>
      <c r="C54" t="s">
        <v>11</v>
      </c>
      <c r="D54" s="5">
        <v>45595</v>
      </c>
      <c r="E54" t="s">
        <v>12</v>
      </c>
      <c r="F54">
        <v>7</v>
      </c>
      <c r="G54" t="str">
        <f>VLOOKUP(Table28[[#This Row],[SKU]],Supplier_Products[[#All],[Supplier]:[SKU]],3,FALSE)</f>
        <v>ChargePro</v>
      </c>
      <c r="H54" t="str" cm="1">
        <f t="array" ref="H54">_xlfn.XLOOKUP(Table28[[#This Row],[SKU]],Supplier_Products[[#All],[SKU]],Supplier_Products[[#All],[Supplier]])</f>
        <v>ChargePro</v>
      </c>
    </row>
    <row r="55" spans="1:8" x14ac:dyDescent="0.3">
      <c r="A55">
        <v>1054</v>
      </c>
      <c r="B55">
        <v>708</v>
      </c>
      <c r="C55" t="s">
        <v>137</v>
      </c>
      <c r="D55" s="5">
        <v>45439</v>
      </c>
      <c r="E55" t="s">
        <v>188</v>
      </c>
      <c r="F55">
        <v>7</v>
      </c>
      <c r="G55" t="str">
        <f>VLOOKUP(Table28[[#This Row],[SKU]],Supplier_Products[[#All],[Supplier]:[SKU]],3,FALSE)</f>
        <v>CleanBot</v>
      </c>
      <c r="H55" t="str" cm="1">
        <f t="array" ref="H55">_xlfn.XLOOKUP(Table28[[#This Row],[SKU]],Supplier_Products[[#All],[SKU]],Supplier_Products[[#All],[Supplier]])</f>
        <v>CleanBot</v>
      </c>
    </row>
    <row r="56" spans="1:8" x14ac:dyDescent="0.3">
      <c r="A56">
        <v>1055</v>
      </c>
      <c r="B56">
        <v>733</v>
      </c>
      <c r="C56" t="s">
        <v>11</v>
      </c>
      <c r="D56" s="5">
        <v>45515</v>
      </c>
      <c r="E56" t="s">
        <v>12</v>
      </c>
      <c r="F56">
        <v>16</v>
      </c>
      <c r="G56" t="str">
        <f>VLOOKUP(Table28[[#This Row],[SKU]],Supplier_Products[[#All],[Supplier]:[SKU]],3,FALSE)</f>
        <v>ChargePro</v>
      </c>
      <c r="H56" t="str" cm="1">
        <f t="array" ref="H56">_xlfn.XLOOKUP(Table28[[#This Row],[SKU]],Supplier_Products[[#All],[SKU]],Supplier_Products[[#All],[Supplier]])</f>
        <v>ChargePro</v>
      </c>
    </row>
    <row r="57" spans="1:8" x14ac:dyDescent="0.3">
      <c r="A57">
        <v>1056</v>
      </c>
      <c r="B57">
        <v>543</v>
      </c>
      <c r="C57" t="s">
        <v>169</v>
      </c>
      <c r="D57" s="5">
        <v>45566</v>
      </c>
      <c r="E57" t="s">
        <v>14</v>
      </c>
      <c r="F57">
        <v>4</v>
      </c>
      <c r="G57" t="str">
        <f>VLOOKUP(Table28[[#This Row],[SKU]],Supplier_Products[[#All],[Supplier]:[SKU]],3,FALSE)</f>
        <v>SafeDrive</v>
      </c>
      <c r="H57" t="str" cm="1">
        <f t="array" ref="H57">_xlfn.XLOOKUP(Table28[[#This Row],[SKU]],Supplier_Products[[#All],[SKU]],Supplier_Products[[#All],[Supplier]])</f>
        <v>SafeDrive</v>
      </c>
    </row>
    <row r="58" spans="1:8" x14ac:dyDescent="0.3">
      <c r="A58">
        <v>1057</v>
      </c>
      <c r="B58">
        <v>673</v>
      </c>
      <c r="C58" t="s">
        <v>110</v>
      </c>
      <c r="D58" s="5">
        <v>45307</v>
      </c>
      <c r="E58" t="s">
        <v>188</v>
      </c>
      <c r="F58">
        <v>13</v>
      </c>
      <c r="G58" t="str">
        <f>VLOOKUP(Table28[[#This Row],[SKU]],Supplier_Products[[#All],[Supplier]:[SKU]],3,FALSE)</f>
        <v>PlayMax</v>
      </c>
      <c r="H58" t="str" cm="1">
        <f t="array" ref="H58">_xlfn.XLOOKUP(Table28[[#This Row],[SKU]],Supplier_Products[[#All],[SKU]],Supplier_Products[[#All],[Supplier]])</f>
        <v>PlayMax</v>
      </c>
    </row>
    <row r="59" spans="1:8" x14ac:dyDescent="0.3">
      <c r="A59">
        <v>1058</v>
      </c>
      <c r="B59">
        <v>632</v>
      </c>
      <c r="C59" t="s">
        <v>173</v>
      </c>
      <c r="D59" s="5">
        <v>45426</v>
      </c>
      <c r="E59" t="s">
        <v>14</v>
      </c>
      <c r="F59">
        <v>1</v>
      </c>
      <c r="G59" t="str">
        <f>VLOOKUP(Table28[[#This Row],[SKU]],Supplier_Products[[#All],[Supplier]:[SKU]],3,FALSE)</f>
        <v>SafeTech</v>
      </c>
      <c r="H59" t="str" cm="1">
        <f t="array" ref="H59">_xlfn.XLOOKUP(Table28[[#This Row],[SKU]],Supplier_Products[[#All],[SKU]],Supplier_Products[[#All],[Supplier]])</f>
        <v>SafeTech</v>
      </c>
    </row>
    <row r="60" spans="1:8" x14ac:dyDescent="0.3">
      <c r="A60">
        <v>1059</v>
      </c>
      <c r="B60">
        <v>534</v>
      </c>
      <c r="C60" t="s">
        <v>11</v>
      </c>
      <c r="D60" s="5">
        <v>45428</v>
      </c>
      <c r="E60" t="s">
        <v>12</v>
      </c>
      <c r="F60">
        <v>3</v>
      </c>
      <c r="G60" t="str">
        <f>VLOOKUP(Table28[[#This Row],[SKU]],Supplier_Products[[#All],[Supplier]:[SKU]],3,FALSE)</f>
        <v>ChargePro</v>
      </c>
      <c r="H60" t="str" cm="1">
        <f t="array" ref="H60">_xlfn.XLOOKUP(Table28[[#This Row],[SKU]],Supplier_Products[[#All],[SKU]],Supplier_Products[[#All],[Supplier]])</f>
        <v>ChargePro</v>
      </c>
    </row>
    <row r="61" spans="1:8" x14ac:dyDescent="0.3">
      <c r="A61">
        <v>1060</v>
      </c>
      <c r="B61">
        <v>683</v>
      </c>
      <c r="C61" t="s">
        <v>8</v>
      </c>
      <c r="D61" s="5">
        <v>45611</v>
      </c>
      <c r="E61" t="s">
        <v>15</v>
      </c>
      <c r="F61">
        <v>19</v>
      </c>
      <c r="G61" t="str">
        <f>VLOOKUP(Table28[[#This Row],[SKU]],Supplier_Products[[#All],[Supplier]:[SKU]],3,FALSE)</f>
        <v>Wearable Inc.</v>
      </c>
      <c r="H61" t="str" cm="1">
        <f t="array" ref="H61">_xlfn.XLOOKUP(Table28[[#This Row],[SKU]],Supplier_Products[[#All],[SKU]],Supplier_Products[[#All],[Supplier]])</f>
        <v>Wearable Inc.</v>
      </c>
    </row>
    <row r="62" spans="1:8" x14ac:dyDescent="0.3">
      <c r="A62">
        <v>1061</v>
      </c>
      <c r="B62">
        <v>599</v>
      </c>
      <c r="C62" t="s">
        <v>156</v>
      </c>
      <c r="D62" s="5">
        <v>45476</v>
      </c>
      <c r="E62" t="s">
        <v>186</v>
      </c>
      <c r="F62">
        <v>4</v>
      </c>
      <c r="G62" t="str">
        <f>VLOOKUP(Table28[[#This Row],[SKU]],Supplier_Products[[#All],[Supplier]:[SKU]],3,FALSE)</f>
        <v>ClickTech</v>
      </c>
      <c r="H62" t="str" cm="1">
        <f t="array" ref="H62">_xlfn.XLOOKUP(Table28[[#This Row],[SKU]],Supplier_Products[[#All],[SKU]],Supplier_Products[[#All],[Supplier]])</f>
        <v>ClickTech</v>
      </c>
    </row>
    <row r="63" spans="1:8" x14ac:dyDescent="0.3">
      <c r="A63">
        <v>1062</v>
      </c>
      <c r="B63">
        <v>541</v>
      </c>
      <c r="C63" t="s">
        <v>162</v>
      </c>
      <c r="D63" s="5">
        <v>45470</v>
      </c>
      <c r="E63" t="s">
        <v>189</v>
      </c>
      <c r="F63">
        <v>12</v>
      </c>
      <c r="G63" t="str">
        <f>VLOOKUP(Table28[[#This Row],[SKU]],Supplier_Products[[#All],[Supplier]:[SKU]],3,FALSE)</f>
        <v>AeroTech</v>
      </c>
      <c r="H63" t="str" cm="1">
        <f t="array" ref="H63">_xlfn.XLOOKUP(Table28[[#This Row],[SKU]],Supplier_Products[[#All],[SKU]],Supplier_Products[[#All],[Supplier]])</f>
        <v>AeroTech</v>
      </c>
    </row>
    <row r="64" spans="1:8" x14ac:dyDescent="0.3">
      <c r="A64">
        <v>1063</v>
      </c>
      <c r="B64">
        <v>558</v>
      </c>
      <c r="C64" t="s">
        <v>154</v>
      </c>
      <c r="D64" s="5">
        <v>45473</v>
      </c>
      <c r="E64" t="s">
        <v>187</v>
      </c>
      <c r="F64">
        <v>1</v>
      </c>
      <c r="G64" t="str">
        <f>VLOOKUP(Table28[[#This Row],[SKU]],Supplier_Products[[#All],[Supplier]:[SKU]],3,FALSE)</f>
        <v>ShutterPro</v>
      </c>
      <c r="H64" t="str" cm="1">
        <f t="array" ref="H64">_xlfn.XLOOKUP(Table28[[#This Row],[SKU]],Supplier_Products[[#All],[SKU]],Supplier_Products[[#All],[Supplier]])</f>
        <v>ShutterPro</v>
      </c>
    </row>
    <row r="65" spans="1:8" x14ac:dyDescent="0.3">
      <c r="A65">
        <v>1064</v>
      </c>
      <c r="B65">
        <v>656</v>
      </c>
      <c r="C65" t="s">
        <v>121</v>
      </c>
      <c r="D65" s="5">
        <v>45534</v>
      </c>
      <c r="E65" t="s">
        <v>186</v>
      </c>
      <c r="F65">
        <v>18</v>
      </c>
      <c r="G65" t="str">
        <f>VLOOKUP(Table28[[#This Row],[SKU]],Supplier_Products[[#All],[Supplier]:[SKU]],3,FALSE)</f>
        <v>ClickTech</v>
      </c>
      <c r="H65" t="str" cm="1">
        <f t="array" ref="H65">_xlfn.XLOOKUP(Table28[[#This Row],[SKU]],Supplier_Products[[#All],[SKU]],Supplier_Products[[#All],[Supplier]])</f>
        <v>ClickTech</v>
      </c>
    </row>
    <row r="66" spans="1:8" x14ac:dyDescent="0.3">
      <c r="A66">
        <v>1065</v>
      </c>
      <c r="B66">
        <v>697</v>
      </c>
      <c r="C66" t="s">
        <v>9</v>
      </c>
      <c r="D66" s="5">
        <v>45378</v>
      </c>
      <c r="E66" t="s">
        <v>14</v>
      </c>
      <c r="F66">
        <v>6</v>
      </c>
      <c r="G66" t="str">
        <f>VLOOKUP(Table28[[#This Row],[SKU]],Supplier_Products[[#All],[Supplier]:[SKU]],3,FALSE)</f>
        <v>CompuTech</v>
      </c>
      <c r="H66" t="str" cm="1">
        <f t="array" ref="H66">_xlfn.XLOOKUP(Table28[[#This Row],[SKU]],Supplier_Products[[#All],[SKU]],Supplier_Products[[#All],[Supplier]])</f>
        <v>CompuTech</v>
      </c>
    </row>
    <row r="67" spans="1:8" x14ac:dyDescent="0.3">
      <c r="A67">
        <v>1066</v>
      </c>
      <c r="B67">
        <v>726</v>
      </c>
      <c r="C67" t="s">
        <v>133</v>
      </c>
      <c r="D67" s="5">
        <v>45364</v>
      </c>
      <c r="E67" t="s">
        <v>14</v>
      </c>
      <c r="F67">
        <v>11</v>
      </c>
      <c r="G67" t="str">
        <f>VLOOKUP(Table28[[#This Row],[SKU]],Supplier_Products[[#All],[Supplier]:[SKU]],3,FALSE)</f>
        <v>SafeTech</v>
      </c>
      <c r="H67" t="str" cm="1">
        <f t="array" ref="H67">_xlfn.XLOOKUP(Table28[[#This Row],[SKU]],Supplier_Products[[#All],[SKU]],Supplier_Products[[#All],[Supplier]])</f>
        <v>SafeTech</v>
      </c>
    </row>
    <row r="68" spans="1:8" x14ac:dyDescent="0.3">
      <c r="A68">
        <v>1067</v>
      </c>
      <c r="B68">
        <v>581</v>
      </c>
      <c r="C68" t="s">
        <v>160</v>
      </c>
      <c r="D68" s="5">
        <v>45640</v>
      </c>
      <c r="E68" t="s">
        <v>13</v>
      </c>
      <c r="F68">
        <v>9</v>
      </c>
      <c r="G68" t="str">
        <f>VLOOKUP(Table28[[#This Row],[SKU]],Supplier_Products[[#All],[Supplier]:[SKU]],3,FALSE)</f>
        <v>SoundCo</v>
      </c>
      <c r="H68" t="str" cm="1">
        <f t="array" ref="H68">_xlfn.XLOOKUP(Table28[[#This Row],[SKU]],Supplier_Products[[#All],[SKU]],Supplier_Products[[#All],[Supplier]])</f>
        <v>SoundCo</v>
      </c>
    </row>
    <row r="69" spans="1:8" x14ac:dyDescent="0.3">
      <c r="A69">
        <v>1068</v>
      </c>
      <c r="B69">
        <v>717</v>
      </c>
      <c r="C69" t="s">
        <v>142</v>
      </c>
      <c r="D69" s="5">
        <v>45297</v>
      </c>
      <c r="E69" t="s">
        <v>186</v>
      </c>
      <c r="F69">
        <v>13</v>
      </c>
      <c r="G69" t="str">
        <f>VLOOKUP(Table28[[#This Row],[SKU]],Supplier_Products[[#All],[Supplier]:[SKU]],3,FALSE)</f>
        <v>GPUForce</v>
      </c>
      <c r="H69" t="str" cm="1">
        <f t="array" ref="H69">_xlfn.XLOOKUP(Table28[[#This Row],[SKU]],Supplier_Products[[#All],[SKU]],Supplier_Products[[#All],[Supplier]])</f>
        <v>GPUForce</v>
      </c>
    </row>
    <row r="70" spans="1:8" x14ac:dyDescent="0.3">
      <c r="A70">
        <v>1069</v>
      </c>
      <c r="B70">
        <v>596</v>
      </c>
      <c r="C70" t="s">
        <v>114</v>
      </c>
      <c r="D70" s="5">
        <v>45504</v>
      </c>
      <c r="E70" t="s">
        <v>189</v>
      </c>
      <c r="F70">
        <v>8</v>
      </c>
      <c r="G70" t="str">
        <f>VLOOKUP(Table28[[#This Row],[SKU]],Supplier_Products[[#All],[Supplier]:[SKU]],3,FALSE)</f>
        <v>VisionTech</v>
      </c>
      <c r="H70" t="str" cm="1">
        <f t="array" ref="H70">_xlfn.XLOOKUP(Table28[[#This Row],[SKU]],Supplier_Products[[#All],[SKU]],Supplier_Products[[#All],[Supplier]])</f>
        <v>VisionTech</v>
      </c>
    </row>
    <row r="71" spans="1:8" x14ac:dyDescent="0.3">
      <c r="A71">
        <v>1070</v>
      </c>
      <c r="B71">
        <v>739</v>
      </c>
      <c r="C71" t="s">
        <v>184</v>
      </c>
      <c r="D71" s="5">
        <v>45554</v>
      </c>
      <c r="E71" t="s">
        <v>189</v>
      </c>
      <c r="F71">
        <v>14</v>
      </c>
      <c r="G71" t="str">
        <f>VLOOKUP(Table28[[#This Row],[SKU]],Supplier_Products[[#All],[Supplier]:[SKU]],3,FALSE)</f>
        <v>VisionTech</v>
      </c>
      <c r="H71" t="str" cm="1">
        <f t="array" ref="H71">_xlfn.XLOOKUP(Table28[[#This Row],[SKU]],Supplier_Products[[#All],[SKU]],Supplier_Products[[#All],[Supplier]])</f>
        <v>VisionTech</v>
      </c>
    </row>
    <row r="72" spans="1:8" x14ac:dyDescent="0.3">
      <c r="A72">
        <v>1071</v>
      </c>
      <c r="B72">
        <v>589</v>
      </c>
      <c r="C72" t="s">
        <v>129</v>
      </c>
      <c r="D72" s="5">
        <v>45382</v>
      </c>
      <c r="E72" t="s">
        <v>12</v>
      </c>
      <c r="F72">
        <v>12</v>
      </c>
      <c r="G72" t="str">
        <f>VLOOKUP(Table28[[#This Row],[SKU]],Supplier_Products[[#All],[Supplier]:[SKU]],3,FALSE)</f>
        <v>StreamIt</v>
      </c>
      <c r="H72" t="str" cm="1">
        <f t="array" ref="H72">_xlfn.XLOOKUP(Table28[[#This Row],[SKU]],Supplier_Products[[#All],[SKU]],Supplier_Products[[#All],[Supplier]])</f>
        <v>StreamIt</v>
      </c>
    </row>
    <row r="73" spans="1:8" x14ac:dyDescent="0.3">
      <c r="A73">
        <v>1072</v>
      </c>
      <c r="B73">
        <v>507</v>
      </c>
      <c r="C73" t="s">
        <v>150</v>
      </c>
      <c r="D73" s="5">
        <v>45547</v>
      </c>
      <c r="E73" t="s">
        <v>187</v>
      </c>
      <c r="F73">
        <v>12</v>
      </c>
      <c r="G73" t="str">
        <f>VLOOKUP(Table28[[#This Row],[SKU]],Supplier_Products[[#All],[Supplier]:[SKU]],3,FALSE)</f>
        <v>ShutterPro</v>
      </c>
      <c r="H73" t="str" cm="1">
        <f t="array" ref="H73">_xlfn.XLOOKUP(Table28[[#This Row],[SKU]],Supplier_Products[[#All],[SKU]],Supplier_Products[[#All],[Supplier]])</f>
        <v>ShutterPro</v>
      </c>
    </row>
    <row r="74" spans="1:8" x14ac:dyDescent="0.3">
      <c r="A74">
        <v>1073</v>
      </c>
      <c r="B74">
        <v>603</v>
      </c>
      <c r="C74" t="s">
        <v>184</v>
      </c>
      <c r="D74" s="5">
        <v>45378</v>
      </c>
      <c r="E74" t="s">
        <v>189</v>
      </c>
      <c r="F74">
        <v>14</v>
      </c>
      <c r="G74" t="str">
        <f>VLOOKUP(Table28[[#This Row],[SKU]],Supplier_Products[[#All],[Supplier]:[SKU]],3,FALSE)</f>
        <v>VisionTech</v>
      </c>
      <c r="H74" t="str" cm="1">
        <f t="array" ref="H74">_xlfn.XLOOKUP(Table28[[#This Row],[SKU]],Supplier_Products[[#All],[SKU]],Supplier_Products[[#All],[Supplier]])</f>
        <v>VisionTech</v>
      </c>
    </row>
    <row r="75" spans="1:8" x14ac:dyDescent="0.3">
      <c r="A75">
        <v>1074</v>
      </c>
      <c r="B75">
        <v>733</v>
      </c>
      <c r="C75" t="s">
        <v>117</v>
      </c>
      <c r="D75" s="5">
        <v>45469</v>
      </c>
      <c r="E75" t="s">
        <v>190</v>
      </c>
      <c r="F75">
        <v>15</v>
      </c>
      <c r="G75" t="str">
        <f>VLOOKUP(Table28[[#This Row],[SKU]],Supplier_Products[[#All],[Supplier]:[SKU]],3,FALSE)</f>
        <v>DataSafe</v>
      </c>
      <c r="H75" t="str" cm="1">
        <f t="array" ref="H75">_xlfn.XLOOKUP(Table28[[#This Row],[SKU]],Supplier_Products[[#All],[SKU]],Supplier_Products[[#All],[Supplier]])</f>
        <v>DataSafe</v>
      </c>
    </row>
    <row r="76" spans="1:8" x14ac:dyDescent="0.3">
      <c r="A76">
        <v>1075</v>
      </c>
      <c r="B76">
        <v>734</v>
      </c>
      <c r="C76" t="s">
        <v>156</v>
      </c>
      <c r="D76" s="5">
        <v>45338</v>
      </c>
      <c r="E76" t="s">
        <v>186</v>
      </c>
      <c r="F76">
        <v>17</v>
      </c>
      <c r="G76" t="str">
        <f>VLOOKUP(Table28[[#This Row],[SKU]],Supplier_Products[[#All],[Supplier]:[SKU]],3,FALSE)</f>
        <v>ClickTech</v>
      </c>
      <c r="H76" t="str" cm="1">
        <f t="array" ref="H76">_xlfn.XLOOKUP(Table28[[#This Row],[SKU]],Supplier_Products[[#All],[SKU]],Supplier_Products[[#All],[Supplier]])</f>
        <v>ClickTech</v>
      </c>
    </row>
    <row r="77" spans="1:8" x14ac:dyDescent="0.3">
      <c r="A77">
        <v>1076</v>
      </c>
      <c r="B77">
        <v>707</v>
      </c>
      <c r="C77" t="s">
        <v>142</v>
      </c>
      <c r="D77" s="5">
        <v>45600</v>
      </c>
      <c r="E77" t="s">
        <v>186</v>
      </c>
      <c r="F77">
        <v>19</v>
      </c>
      <c r="G77" t="str">
        <f>VLOOKUP(Table28[[#This Row],[SKU]],Supplier_Products[[#All],[Supplier]:[SKU]],3,FALSE)</f>
        <v>GPUForce</v>
      </c>
      <c r="H77" t="str" cm="1">
        <f t="array" ref="H77">_xlfn.XLOOKUP(Table28[[#This Row],[SKU]],Supplier_Products[[#All],[SKU]],Supplier_Products[[#All],[Supplier]])</f>
        <v>GPUForce</v>
      </c>
    </row>
    <row r="78" spans="1:8" x14ac:dyDescent="0.3">
      <c r="A78">
        <v>1077</v>
      </c>
      <c r="B78">
        <v>713</v>
      </c>
      <c r="C78" t="s">
        <v>140</v>
      </c>
      <c r="D78" s="5">
        <v>45303</v>
      </c>
      <c r="E78" t="s">
        <v>187</v>
      </c>
      <c r="F78">
        <v>4</v>
      </c>
      <c r="G78" t="str">
        <f>VLOOKUP(Table28[[#This Row],[SKU]],Supplier_Products[[#All],[Supplier]:[SKU]],3,FALSE)</f>
        <v>SoundWave</v>
      </c>
      <c r="H78" t="str" cm="1">
        <f t="array" ref="H78">_xlfn.XLOOKUP(Table28[[#This Row],[SKU]],Supplier_Products[[#All],[SKU]],Supplier_Products[[#All],[Supplier]])</f>
        <v>SoundWave</v>
      </c>
    </row>
    <row r="79" spans="1:8" x14ac:dyDescent="0.3">
      <c r="A79">
        <v>1078</v>
      </c>
      <c r="B79">
        <v>658</v>
      </c>
      <c r="C79" t="s">
        <v>166</v>
      </c>
      <c r="D79" s="5">
        <v>45439</v>
      </c>
      <c r="E79" t="s">
        <v>191</v>
      </c>
      <c r="F79">
        <v>20</v>
      </c>
      <c r="G79" t="str">
        <f>VLOOKUP(Table28[[#This Row],[SKU]],Supplier_Products[[#All],[Supplier]:[SKU]],3,FALSE)</f>
        <v>BookTech</v>
      </c>
      <c r="H79" t="str" cm="1">
        <f t="array" ref="H79">_xlfn.XLOOKUP(Table28[[#This Row],[SKU]],Supplier_Products[[#All],[SKU]],Supplier_Products[[#All],[Supplier]])</f>
        <v>BookTech</v>
      </c>
    </row>
    <row r="80" spans="1:8" x14ac:dyDescent="0.3">
      <c r="A80">
        <v>1079</v>
      </c>
      <c r="B80">
        <v>722</v>
      </c>
      <c r="C80" t="s">
        <v>156</v>
      </c>
      <c r="D80" s="5">
        <v>45462</v>
      </c>
      <c r="E80" t="s">
        <v>186</v>
      </c>
      <c r="F80">
        <v>7</v>
      </c>
      <c r="G80" t="str">
        <f>VLOOKUP(Table28[[#This Row],[SKU]],Supplier_Products[[#All],[Supplier]:[SKU]],3,FALSE)</f>
        <v>ClickTech</v>
      </c>
      <c r="H80" t="str" cm="1">
        <f t="array" ref="H80">_xlfn.XLOOKUP(Table28[[#This Row],[SKU]],Supplier_Products[[#All],[SKU]],Supplier_Products[[#All],[Supplier]])</f>
        <v>ClickTech</v>
      </c>
    </row>
    <row r="81" spans="1:8" x14ac:dyDescent="0.3">
      <c r="A81">
        <v>1080</v>
      </c>
      <c r="B81">
        <v>740</v>
      </c>
      <c r="C81" t="s">
        <v>110</v>
      </c>
      <c r="D81" s="5">
        <v>45474</v>
      </c>
      <c r="E81" t="s">
        <v>188</v>
      </c>
      <c r="F81">
        <v>11</v>
      </c>
      <c r="G81" t="str">
        <f>VLOOKUP(Table28[[#This Row],[SKU]],Supplier_Products[[#All],[Supplier]:[SKU]],3,FALSE)</f>
        <v>PlayMax</v>
      </c>
      <c r="H81" t="str" cm="1">
        <f t="array" ref="H81">_xlfn.XLOOKUP(Table28[[#This Row],[SKU]],Supplier_Products[[#All],[SKU]],Supplier_Products[[#All],[Supplier]])</f>
        <v>PlayMax</v>
      </c>
    </row>
    <row r="82" spans="1:8" x14ac:dyDescent="0.3">
      <c r="A82">
        <v>1081</v>
      </c>
      <c r="B82">
        <v>511</v>
      </c>
      <c r="C82" t="s">
        <v>117</v>
      </c>
      <c r="D82" s="5">
        <v>45626</v>
      </c>
      <c r="E82" t="s">
        <v>190</v>
      </c>
      <c r="F82">
        <v>9</v>
      </c>
      <c r="G82" t="str">
        <f>VLOOKUP(Table28[[#This Row],[SKU]],Supplier_Products[[#All],[Supplier]:[SKU]],3,FALSE)</f>
        <v>DataSafe</v>
      </c>
      <c r="H82" t="str" cm="1">
        <f t="array" ref="H82">_xlfn.XLOOKUP(Table28[[#This Row],[SKU]],Supplier_Products[[#All],[SKU]],Supplier_Products[[#All],[Supplier]])</f>
        <v>DataSafe</v>
      </c>
    </row>
    <row r="83" spans="1:8" x14ac:dyDescent="0.3">
      <c r="A83">
        <v>1082</v>
      </c>
      <c r="B83">
        <v>585</v>
      </c>
      <c r="C83" t="s">
        <v>6</v>
      </c>
      <c r="D83" s="5">
        <v>45334</v>
      </c>
      <c r="E83" t="s">
        <v>12</v>
      </c>
      <c r="F83">
        <v>14</v>
      </c>
      <c r="G83" t="str">
        <f>VLOOKUP(Table28[[#This Row],[SKU]],Supplier_Products[[#All],[Supplier]:[SKU]],3,FALSE)</f>
        <v>TechCorp</v>
      </c>
      <c r="H83" t="str" cm="1">
        <f t="array" ref="H83">_xlfn.XLOOKUP(Table28[[#This Row],[SKU]],Supplier_Products[[#All],[SKU]],Supplier_Products[[#All],[Supplier]])</f>
        <v>TechCorp</v>
      </c>
    </row>
    <row r="84" spans="1:8" x14ac:dyDescent="0.3">
      <c r="A84">
        <v>1083</v>
      </c>
      <c r="B84">
        <v>708</v>
      </c>
      <c r="C84" t="s">
        <v>129</v>
      </c>
      <c r="D84" s="5">
        <v>45578</v>
      </c>
      <c r="E84" t="s">
        <v>12</v>
      </c>
      <c r="F84">
        <v>6</v>
      </c>
      <c r="G84" t="str">
        <f>VLOOKUP(Table28[[#This Row],[SKU]],Supplier_Products[[#All],[Supplier]:[SKU]],3,FALSE)</f>
        <v>StreamIt</v>
      </c>
      <c r="H84" t="str" cm="1">
        <f t="array" ref="H84">_xlfn.XLOOKUP(Table28[[#This Row],[SKU]],Supplier_Products[[#All],[SKU]],Supplier_Products[[#All],[Supplier]])</f>
        <v>StreamIt</v>
      </c>
    </row>
    <row r="85" spans="1:8" x14ac:dyDescent="0.3">
      <c r="A85">
        <v>1084</v>
      </c>
      <c r="B85">
        <v>653</v>
      </c>
      <c r="C85" t="s">
        <v>10</v>
      </c>
      <c r="D85" s="5">
        <v>45378</v>
      </c>
      <c r="E85" t="s">
        <v>13</v>
      </c>
      <c r="F85">
        <v>19</v>
      </c>
      <c r="G85" t="str">
        <f>VLOOKUP(Table28[[#This Row],[SKU]],Supplier_Products[[#All],[Supplier]:[SKU]],3,FALSE)</f>
        <v>TabletMakers</v>
      </c>
      <c r="H85" t="str" cm="1">
        <f t="array" ref="H85">_xlfn.XLOOKUP(Table28[[#This Row],[SKU]],Supplier_Products[[#All],[SKU]],Supplier_Products[[#All],[Supplier]])</f>
        <v>TabletMakers</v>
      </c>
    </row>
    <row r="86" spans="1:8" x14ac:dyDescent="0.3">
      <c r="A86">
        <v>1085</v>
      </c>
      <c r="B86">
        <v>744</v>
      </c>
      <c r="C86" t="s">
        <v>133</v>
      </c>
      <c r="D86" s="5">
        <v>45490</v>
      </c>
      <c r="E86" t="s">
        <v>14</v>
      </c>
      <c r="F86">
        <v>20</v>
      </c>
      <c r="G86" t="str">
        <f>VLOOKUP(Table28[[#This Row],[SKU]],Supplier_Products[[#All],[Supplier]:[SKU]],3,FALSE)</f>
        <v>SafeTech</v>
      </c>
      <c r="H86" t="str" cm="1">
        <f t="array" ref="H86">_xlfn.XLOOKUP(Table28[[#This Row],[SKU]],Supplier_Products[[#All],[SKU]],Supplier_Products[[#All],[Supplier]])</f>
        <v>SafeTech</v>
      </c>
    </row>
    <row r="87" spans="1:8" x14ac:dyDescent="0.3">
      <c r="A87">
        <v>1086</v>
      </c>
      <c r="B87">
        <v>636</v>
      </c>
      <c r="C87" t="s">
        <v>9</v>
      </c>
      <c r="D87" s="5">
        <v>45349</v>
      </c>
      <c r="E87" t="s">
        <v>14</v>
      </c>
      <c r="F87">
        <v>9</v>
      </c>
      <c r="G87" t="str">
        <f>VLOOKUP(Table28[[#This Row],[SKU]],Supplier_Products[[#All],[Supplier]:[SKU]],3,FALSE)</f>
        <v>CompuTech</v>
      </c>
      <c r="H87" t="str" cm="1">
        <f t="array" ref="H87">_xlfn.XLOOKUP(Table28[[#This Row],[SKU]],Supplier_Products[[#All],[SKU]],Supplier_Products[[#All],[Supplier]])</f>
        <v>CompuTech</v>
      </c>
    </row>
    <row r="88" spans="1:8" x14ac:dyDescent="0.3">
      <c r="A88">
        <v>1087</v>
      </c>
      <c r="B88">
        <v>516</v>
      </c>
      <c r="C88" t="s">
        <v>114</v>
      </c>
      <c r="D88" s="5">
        <v>45473</v>
      </c>
      <c r="E88" t="s">
        <v>189</v>
      </c>
      <c r="F88">
        <v>17</v>
      </c>
      <c r="G88" t="str">
        <f>VLOOKUP(Table28[[#This Row],[SKU]],Supplier_Products[[#All],[Supplier]:[SKU]],3,FALSE)</f>
        <v>VisionTech</v>
      </c>
      <c r="H88" t="str" cm="1">
        <f t="array" ref="H88">_xlfn.XLOOKUP(Table28[[#This Row],[SKU]],Supplier_Products[[#All],[SKU]],Supplier_Products[[#All],[Supplier]])</f>
        <v>VisionTech</v>
      </c>
    </row>
    <row r="89" spans="1:8" x14ac:dyDescent="0.3">
      <c r="A89">
        <v>1088</v>
      </c>
      <c r="B89">
        <v>716</v>
      </c>
      <c r="C89" t="s">
        <v>11</v>
      </c>
      <c r="D89" s="5">
        <v>45575</v>
      </c>
      <c r="E89" t="s">
        <v>12</v>
      </c>
      <c r="F89">
        <v>11</v>
      </c>
      <c r="G89" t="str">
        <f>VLOOKUP(Table28[[#This Row],[SKU]],Supplier_Products[[#All],[Supplier]:[SKU]],3,FALSE)</f>
        <v>ChargePro</v>
      </c>
      <c r="H89" t="str" cm="1">
        <f t="array" ref="H89">_xlfn.XLOOKUP(Table28[[#This Row],[SKU]],Supplier_Products[[#All],[SKU]],Supplier_Products[[#All],[Supplier]])</f>
        <v>ChargePro</v>
      </c>
    </row>
    <row r="90" spans="1:8" x14ac:dyDescent="0.3">
      <c r="A90">
        <v>1089</v>
      </c>
      <c r="B90">
        <v>577</v>
      </c>
      <c r="C90" t="s">
        <v>10</v>
      </c>
      <c r="D90" s="5">
        <v>45495</v>
      </c>
      <c r="E90" t="s">
        <v>13</v>
      </c>
      <c r="F90">
        <v>14</v>
      </c>
      <c r="G90" t="str">
        <f>VLOOKUP(Table28[[#This Row],[SKU]],Supplier_Products[[#All],[Supplier]:[SKU]],3,FALSE)</f>
        <v>TabletMakers</v>
      </c>
      <c r="H90" t="str" cm="1">
        <f t="array" ref="H90">_xlfn.XLOOKUP(Table28[[#This Row],[SKU]],Supplier_Products[[#All],[SKU]],Supplier_Products[[#All],[Supplier]])</f>
        <v>TabletMakers</v>
      </c>
    </row>
    <row r="91" spans="1:8" x14ac:dyDescent="0.3">
      <c r="A91">
        <v>1090</v>
      </c>
      <c r="B91">
        <v>535</v>
      </c>
      <c r="C91" t="s">
        <v>11</v>
      </c>
      <c r="D91" s="5">
        <v>45600</v>
      </c>
      <c r="E91" t="s">
        <v>12</v>
      </c>
      <c r="F91">
        <v>12</v>
      </c>
      <c r="G91" t="str">
        <f>VLOOKUP(Table28[[#This Row],[SKU]],Supplier_Products[[#All],[Supplier]:[SKU]],3,FALSE)</f>
        <v>ChargePro</v>
      </c>
      <c r="H91" t="str" cm="1">
        <f t="array" ref="H91">_xlfn.XLOOKUP(Table28[[#This Row],[SKU]],Supplier_Products[[#All],[SKU]],Supplier_Products[[#All],[Supplier]])</f>
        <v>ChargePro</v>
      </c>
    </row>
    <row r="92" spans="1:8" x14ac:dyDescent="0.3">
      <c r="A92">
        <v>1091</v>
      </c>
      <c r="B92">
        <v>718</v>
      </c>
      <c r="C92" t="s">
        <v>8</v>
      </c>
      <c r="D92" s="5">
        <v>45608</v>
      </c>
      <c r="E92" t="s">
        <v>15</v>
      </c>
      <c r="F92">
        <v>12</v>
      </c>
      <c r="G92" t="str">
        <f>VLOOKUP(Table28[[#This Row],[SKU]],Supplier_Products[[#All],[Supplier]:[SKU]],3,FALSE)</f>
        <v>Wearable Inc.</v>
      </c>
      <c r="H92" t="str" cm="1">
        <f t="array" ref="H92">_xlfn.XLOOKUP(Table28[[#This Row],[SKU]],Supplier_Products[[#All],[SKU]],Supplier_Products[[#All],[Supplier]])</f>
        <v>Wearable Inc.</v>
      </c>
    </row>
    <row r="93" spans="1:8" x14ac:dyDescent="0.3">
      <c r="A93">
        <v>1092</v>
      </c>
      <c r="B93">
        <v>595</v>
      </c>
      <c r="C93" t="s">
        <v>110</v>
      </c>
      <c r="D93" s="5">
        <v>45595</v>
      </c>
      <c r="E93" t="s">
        <v>188</v>
      </c>
      <c r="F93">
        <v>7</v>
      </c>
      <c r="G93" t="str">
        <f>VLOOKUP(Table28[[#This Row],[SKU]],Supplier_Products[[#All],[Supplier]:[SKU]],3,FALSE)</f>
        <v>PlayMax</v>
      </c>
      <c r="H93" t="str" cm="1">
        <f t="array" ref="H93">_xlfn.XLOOKUP(Table28[[#This Row],[SKU]],Supplier_Products[[#All],[SKU]],Supplier_Products[[#All],[Supplier]])</f>
        <v>PlayMax</v>
      </c>
    </row>
    <row r="94" spans="1:8" x14ac:dyDescent="0.3">
      <c r="A94">
        <v>1093</v>
      </c>
      <c r="B94">
        <v>652</v>
      </c>
      <c r="C94" t="s">
        <v>9</v>
      </c>
      <c r="D94" s="5">
        <v>45564</v>
      </c>
      <c r="E94" t="s">
        <v>14</v>
      </c>
      <c r="F94">
        <v>16</v>
      </c>
      <c r="G94" t="str">
        <f>VLOOKUP(Table28[[#This Row],[SKU]],Supplier_Products[[#All],[Supplier]:[SKU]],3,FALSE)</f>
        <v>CompuTech</v>
      </c>
      <c r="H94" t="str" cm="1">
        <f t="array" ref="H94">_xlfn.XLOOKUP(Table28[[#This Row],[SKU]],Supplier_Products[[#All],[SKU]],Supplier_Products[[#All],[Supplier]])</f>
        <v>CompuTech</v>
      </c>
    </row>
    <row r="95" spans="1:8" x14ac:dyDescent="0.3">
      <c r="A95">
        <v>1094</v>
      </c>
      <c r="B95">
        <v>684</v>
      </c>
      <c r="C95" t="s">
        <v>137</v>
      </c>
      <c r="D95" s="5">
        <v>45637</v>
      </c>
      <c r="E95" t="s">
        <v>188</v>
      </c>
      <c r="F95">
        <v>8</v>
      </c>
      <c r="G95" t="str">
        <f>VLOOKUP(Table28[[#This Row],[SKU]],Supplier_Products[[#All],[Supplier]:[SKU]],3,FALSE)</f>
        <v>CleanBot</v>
      </c>
      <c r="H95" t="str" cm="1">
        <f t="array" ref="H95">_xlfn.XLOOKUP(Table28[[#This Row],[SKU]],Supplier_Products[[#All],[SKU]],Supplier_Products[[#All],[Supplier]])</f>
        <v>CleanBot</v>
      </c>
    </row>
    <row r="96" spans="1:8" x14ac:dyDescent="0.3">
      <c r="A96">
        <v>1095</v>
      </c>
      <c r="B96">
        <v>571</v>
      </c>
      <c r="C96" t="s">
        <v>121</v>
      </c>
      <c r="D96" s="5">
        <v>45512</v>
      </c>
      <c r="E96" t="s">
        <v>186</v>
      </c>
      <c r="F96">
        <v>17</v>
      </c>
      <c r="G96" t="str">
        <f>VLOOKUP(Table28[[#This Row],[SKU]],Supplier_Products[[#All],[Supplier]:[SKU]],3,FALSE)</f>
        <v>ClickTech</v>
      </c>
      <c r="H96" t="str" cm="1">
        <f t="array" ref="H96">_xlfn.XLOOKUP(Table28[[#This Row],[SKU]],Supplier_Products[[#All],[SKU]],Supplier_Products[[#All],[Supplier]])</f>
        <v>ClickTech</v>
      </c>
    </row>
    <row r="97" spans="1:8" x14ac:dyDescent="0.3">
      <c r="A97">
        <v>1096</v>
      </c>
      <c r="B97">
        <v>704</v>
      </c>
      <c r="C97" t="s">
        <v>166</v>
      </c>
      <c r="D97" s="5">
        <v>45530</v>
      </c>
      <c r="E97" t="s">
        <v>191</v>
      </c>
      <c r="F97">
        <v>14</v>
      </c>
      <c r="G97" t="str">
        <f>VLOOKUP(Table28[[#This Row],[SKU]],Supplier_Products[[#All],[Supplier]:[SKU]],3,FALSE)</f>
        <v>BookTech</v>
      </c>
      <c r="H97" t="str" cm="1">
        <f t="array" ref="H97">_xlfn.XLOOKUP(Table28[[#This Row],[SKU]],Supplier_Products[[#All],[SKU]],Supplier_Products[[#All],[Supplier]])</f>
        <v>BookTech</v>
      </c>
    </row>
    <row r="98" spans="1:8" x14ac:dyDescent="0.3">
      <c r="A98">
        <v>1097</v>
      </c>
      <c r="B98">
        <v>533</v>
      </c>
      <c r="C98" t="s">
        <v>126</v>
      </c>
      <c r="D98" s="5">
        <v>45315</v>
      </c>
      <c r="E98" t="s">
        <v>191</v>
      </c>
      <c r="F98">
        <v>13</v>
      </c>
      <c r="G98" t="str">
        <f>VLOOKUP(Table28[[#This Row],[SKU]],Supplier_Products[[#All],[Supplier]:[SKU]],3,FALSE)</f>
        <v>FitTech</v>
      </c>
      <c r="H98" t="str" cm="1">
        <f t="array" ref="H98">_xlfn.XLOOKUP(Table28[[#This Row],[SKU]],Supplier_Products[[#All],[SKU]],Supplier_Products[[#All],[Supplier]])</f>
        <v>FitTech</v>
      </c>
    </row>
    <row r="99" spans="1:8" x14ac:dyDescent="0.3">
      <c r="A99">
        <v>1098</v>
      </c>
      <c r="B99">
        <v>691</v>
      </c>
      <c r="C99" t="s">
        <v>126</v>
      </c>
      <c r="D99" s="5">
        <v>45414</v>
      </c>
      <c r="E99" t="s">
        <v>191</v>
      </c>
      <c r="F99">
        <v>18</v>
      </c>
      <c r="G99" t="str">
        <f>VLOOKUP(Table28[[#This Row],[SKU]],Supplier_Products[[#All],[Supplier]:[SKU]],3,FALSE)</f>
        <v>FitTech</v>
      </c>
      <c r="H99" t="str" cm="1">
        <f t="array" ref="H99">_xlfn.XLOOKUP(Table28[[#This Row],[SKU]],Supplier_Products[[#All],[SKU]],Supplier_Products[[#All],[Supplier]])</f>
        <v>FitTech</v>
      </c>
    </row>
    <row r="100" spans="1:8" x14ac:dyDescent="0.3">
      <c r="A100">
        <v>1099</v>
      </c>
      <c r="B100">
        <v>723</v>
      </c>
      <c r="C100" t="s">
        <v>160</v>
      </c>
      <c r="D100" s="5">
        <v>45434</v>
      </c>
      <c r="E100" t="s">
        <v>13</v>
      </c>
      <c r="F100">
        <v>17</v>
      </c>
      <c r="G100" t="str">
        <f>VLOOKUP(Table28[[#This Row],[SKU]],Supplier_Products[[#All],[Supplier]:[SKU]],3,FALSE)</f>
        <v>SoundCo</v>
      </c>
      <c r="H100" t="str" cm="1">
        <f t="array" ref="H100">_xlfn.XLOOKUP(Table28[[#This Row],[SKU]],Supplier_Products[[#All],[SKU]],Supplier_Products[[#All],[Supplier]])</f>
        <v>SoundCo</v>
      </c>
    </row>
    <row r="101" spans="1:8" x14ac:dyDescent="0.3">
      <c r="A101">
        <v>1100</v>
      </c>
      <c r="B101">
        <v>731</v>
      </c>
      <c r="C101" t="s">
        <v>148</v>
      </c>
      <c r="D101" s="5">
        <v>45422</v>
      </c>
      <c r="E101" t="s">
        <v>12</v>
      </c>
      <c r="F101">
        <v>16</v>
      </c>
      <c r="G101" t="str">
        <f>VLOOKUP(Table28[[#This Row],[SKU]],Supplier_Products[[#All],[Supplier]:[SKU]],3,FALSE)</f>
        <v>ChargePro</v>
      </c>
      <c r="H101" t="str" cm="1">
        <f t="array" ref="H101">_xlfn.XLOOKUP(Table28[[#This Row],[SKU]],Supplier_Products[[#All],[SKU]],Supplier_Products[[#All],[Supplier]])</f>
        <v>ChargePro</v>
      </c>
    </row>
    <row r="102" spans="1:8" x14ac:dyDescent="0.3">
      <c r="A102">
        <v>1101</v>
      </c>
      <c r="B102">
        <v>687</v>
      </c>
      <c r="C102" t="s">
        <v>169</v>
      </c>
      <c r="D102" s="5">
        <v>45354</v>
      </c>
      <c r="E102" t="s">
        <v>14</v>
      </c>
      <c r="F102">
        <v>16</v>
      </c>
      <c r="G102" t="str">
        <f>VLOOKUP(Table28[[#This Row],[SKU]],Supplier_Products[[#All],[Supplier]:[SKU]],3,FALSE)</f>
        <v>SafeDrive</v>
      </c>
      <c r="H102" t="str" cm="1">
        <f t="array" ref="H102">_xlfn.XLOOKUP(Table28[[#This Row],[SKU]],Supplier_Products[[#All],[SKU]],Supplier_Products[[#All],[Supplier]])</f>
        <v>SafeDrive</v>
      </c>
    </row>
    <row r="103" spans="1:8" x14ac:dyDescent="0.3">
      <c r="A103">
        <v>1102</v>
      </c>
      <c r="B103">
        <v>509</v>
      </c>
      <c r="C103" t="s">
        <v>148</v>
      </c>
      <c r="D103" s="5">
        <v>45613</v>
      </c>
      <c r="E103" t="s">
        <v>12</v>
      </c>
      <c r="F103">
        <v>3</v>
      </c>
      <c r="G103" t="str">
        <f>VLOOKUP(Table28[[#This Row],[SKU]],Supplier_Products[[#All],[Supplier]:[SKU]],3,FALSE)</f>
        <v>ChargePro</v>
      </c>
      <c r="H103" t="str" cm="1">
        <f t="array" ref="H103">_xlfn.XLOOKUP(Table28[[#This Row],[SKU]],Supplier_Products[[#All],[SKU]],Supplier_Products[[#All],[Supplier]])</f>
        <v>ChargePro</v>
      </c>
    </row>
    <row r="104" spans="1:8" x14ac:dyDescent="0.3">
      <c r="A104">
        <v>1103</v>
      </c>
      <c r="B104">
        <v>572</v>
      </c>
      <c r="C104" t="s">
        <v>173</v>
      </c>
      <c r="D104" s="5">
        <v>45542</v>
      </c>
      <c r="E104" t="s">
        <v>14</v>
      </c>
      <c r="F104">
        <v>6</v>
      </c>
      <c r="G104" t="str">
        <f>VLOOKUP(Table28[[#This Row],[SKU]],Supplier_Products[[#All],[Supplier]:[SKU]],3,FALSE)</f>
        <v>SafeTech</v>
      </c>
      <c r="H104" t="str" cm="1">
        <f t="array" ref="H104">_xlfn.XLOOKUP(Table28[[#This Row],[SKU]],Supplier_Products[[#All],[SKU]],Supplier_Products[[#All],[Supplier]])</f>
        <v>SafeTech</v>
      </c>
    </row>
    <row r="105" spans="1:8" x14ac:dyDescent="0.3">
      <c r="A105">
        <v>1104</v>
      </c>
      <c r="B105">
        <v>596</v>
      </c>
      <c r="C105" t="s">
        <v>156</v>
      </c>
      <c r="D105" s="5">
        <v>45464</v>
      </c>
      <c r="E105" t="s">
        <v>186</v>
      </c>
      <c r="F105">
        <v>9</v>
      </c>
      <c r="G105" t="str">
        <f>VLOOKUP(Table28[[#This Row],[SKU]],Supplier_Products[[#All],[Supplier]:[SKU]],3,FALSE)</f>
        <v>ClickTech</v>
      </c>
      <c r="H105" t="str" cm="1">
        <f t="array" ref="H105">_xlfn.XLOOKUP(Table28[[#This Row],[SKU]],Supplier_Products[[#All],[SKU]],Supplier_Products[[#All],[Supplier]])</f>
        <v>ClickTech</v>
      </c>
    </row>
    <row r="106" spans="1:8" x14ac:dyDescent="0.3">
      <c r="A106">
        <v>1105</v>
      </c>
      <c r="B106">
        <v>575</v>
      </c>
      <c r="C106" t="s">
        <v>123</v>
      </c>
      <c r="D106" s="5">
        <v>45305</v>
      </c>
      <c r="E106" t="s">
        <v>189</v>
      </c>
      <c r="F106">
        <v>16</v>
      </c>
      <c r="G106" t="str">
        <f>VLOOKUP(Table28[[#This Row],[SKU]],Supplier_Products[[#All],[Supplier]:[SKU]],3,FALSE)</f>
        <v>VRWorld</v>
      </c>
      <c r="H106" t="str" cm="1">
        <f t="array" ref="H106">_xlfn.XLOOKUP(Table28[[#This Row],[SKU]],Supplier_Products[[#All],[SKU]],Supplier_Products[[#All],[Supplier]])</f>
        <v>VRWorld</v>
      </c>
    </row>
    <row r="107" spans="1:8" x14ac:dyDescent="0.3">
      <c r="A107">
        <v>1106</v>
      </c>
      <c r="B107">
        <v>587</v>
      </c>
      <c r="C107" t="s">
        <v>137</v>
      </c>
      <c r="D107" s="5">
        <v>45363</v>
      </c>
      <c r="E107" t="s">
        <v>188</v>
      </c>
      <c r="F107">
        <v>7</v>
      </c>
      <c r="G107" t="str">
        <f>VLOOKUP(Table28[[#This Row],[SKU]],Supplier_Products[[#All],[Supplier]:[SKU]],3,FALSE)</f>
        <v>CleanBot</v>
      </c>
      <c r="H107" t="str" cm="1">
        <f t="array" ref="H107">_xlfn.XLOOKUP(Table28[[#This Row],[SKU]],Supplier_Products[[#All],[SKU]],Supplier_Products[[#All],[Supplier]])</f>
        <v>CleanBot</v>
      </c>
    </row>
    <row r="108" spans="1:8" x14ac:dyDescent="0.3">
      <c r="A108">
        <v>1107</v>
      </c>
      <c r="B108">
        <v>655</v>
      </c>
      <c r="C108" t="s">
        <v>10</v>
      </c>
      <c r="D108" s="5">
        <v>45583</v>
      </c>
      <c r="E108" t="s">
        <v>13</v>
      </c>
      <c r="F108">
        <v>5</v>
      </c>
      <c r="G108" t="str">
        <f>VLOOKUP(Table28[[#This Row],[SKU]],Supplier_Products[[#All],[Supplier]:[SKU]],3,FALSE)</f>
        <v>TabletMakers</v>
      </c>
      <c r="H108" t="str" cm="1">
        <f t="array" ref="H108">_xlfn.XLOOKUP(Table28[[#This Row],[SKU]],Supplier_Products[[#All],[SKU]],Supplier_Products[[#All],[Supplier]])</f>
        <v>TabletMakers</v>
      </c>
    </row>
    <row r="109" spans="1:8" x14ac:dyDescent="0.3">
      <c r="A109">
        <v>1108</v>
      </c>
      <c r="B109">
        <v>623</v>
      </c>
      <c r="C109" t="s">
        <v>158</v>
      </c>
      <c r="D109" s="5">
        <v>45626</v>
      </c>
      <c r="E109" t="s">
        <v>186</v>
      </c>
      <c r="F109">
        <v>3</v>
      </c>
      <c r="G109" t="str">
        <f>VLOOKUP(Table28[[#This Row],[SKU]],Supplier_Products[[#All],[Supplier]:[SKU]],3,FALSE)</f>
        <v>ClickTech</v>
      </c>
      <c r="H109" t="str" cm="1">
        <f t="array" ref="H109">_xlfn.XLOOKUP(Table28[[#This Row],[SKU]],Supplier_Products[[#All],[SKU]],Supplier_Products[[#All],[Supplier]])</f>
        <v>ClickTech</v>
      </c>
    </row>
    <row r="110" spans="1:8" x14ac:dyDescent="0.3">
      <c r="A110">
        <v>1109</v>
      </c>
      <c r="B110">
        <v>651</v>
      </c>
      <c r="C110" t="s">
        <v>10</v>
      </c>
      <c r="D110" s="5">
        <v>45616</v>
      </c>
      <c r="E110" t="s">
        <v>13</v>
      </c>
      <c r="F110">
        <v>13</v>
      </c>
      <c r="G110" t="str">
        <f>VLOOKUP(Table28[[#This Row],[SKU]],Supplier_Products[[#All],[Supplier]:[SKU]],3,FALSE)</f>
        <v>TabletMakers</v>
      </c>
      <c r="H110" t="str" cm="1">
        <f t="array" ref="H110">_xlfn.XLOOKUP(Table28[[#This Row],[SKU]],Supplier_Products[[#All],[SKU]],Supplier_Products[[#All],[Supplier]])</f>
        <v>TabletMakers</v>
      </c>
    </row>
    <row r="111" spans="1:8" x14ac:dyDescent="0.3">
      <c r="A111">
        <v>1110</v>
      </c>
      <c r="B111">
        <v>642</v>
      </c>
      <c r="C111" t="s">
        <v>160</v>
      </c>
      <c r="D111" s="5">
        <v>45457</v>
      </c>
      <c r="E111" t="s">
        <v>13</v>
      </c>
      <c r="F111">
        <v>2</v>
      </c>
      <c r="G111" t="str">
        <f>VLOOKUP(Table28[[#This Row],[SKU]],Supplier_Products[[#All],[Supplier]:[SKU]],3,FALSE)</f>
        <v>SoundCo</v>
      </c>
      <c r="H111" t="str" cm="1">
        <f t="array" ref="H111">_xlfn.XLOOKUP(Table28[[#This Row],[SKU]],Supplier_Products[[#All],[SKU]],Supplier_Products[[#All],[Supplier]])</f>
        <v>SoundCo</v>
      </c>
    </row>
    <row r="112" spans="1:8" x14ac:dyDescent="0.3">
      <c r="A112">
        <v>1111</v>
      </c>
      <c r="B112">
        <v>514</v>
      </c>
      <c r="C112" t="s">
        <v>129</v>
      </c>
      <c r="D112" s="5">
        <v>45485</v>
      </c>
      <c r="E112" t="s">
        <v>12</v>
      </c>
      <c r="F112">
        <v>1</v>
      </c>
      <c r="G112" t="str">
        <f>VLOOKUP(Table28[[#This Row],[SKU]],Supplier_Products[[#All],[Supplier]:[SKU]],3,FALSE)</f>
        <v>StreamIt</v>
      </c>
      <c r="H112" t="str" cm="1">
        <f t="array" ref="H112">_xlfn.XLOOKUP(Table28[[#This Row],[SKU]],Supplier_Products[[#All],[SKU]],Supplier_Products[[#All],[Supplier]])</f>
        <v>StreamIt</v>
      </c>
    </row>
    <row r="113" spans="1:8" x14ac:dyDescent="0.3">
      <c r="A113">
        <v>1112</v>
      </c>
      <c r="B113">
        <v>575</v>
      </c>
      <c r="C113" t="s">
        <v>126</v>
      </c>
      <c r="D113" s="5">
        <v>45418</v>
      </c>
      <c r="E113" t="s">
        <v>191</v>
      </c>
      <c r="F113">
        <v>17</v>
      </c>
      <c r="G113" t="str">
        <f>VLOOKUP(Table28[[#This Row],[SKU]],Supplier_Products[[#All],[Supplier]:[SKU]],3,FALSE)</f>
        <v>FitTech</v>
      </c>
      <c r="H113" t="str" cm="1">
        <f t="array" ref="H113">_xlfn.XLOOKUP(Table28[[#This Row],[SKU]],Supplier_Products[[#All],[SKU]],Supplier_Products[[#All],[Supplier]])</f>
        <v>FitTech</v>
      </c>
    </row>
    <row r="114" spans="1:8" x14ac:dyDescent="0.3">
      <c r="A114">
        <v>1113</v>
      </c>
      <c r="B114">
        <v>745</v>
      </c>
      <c r="C114" t="s">
        <v>110</v>
      </c>
      <c r="D114" s="5">
        <v>45470</v>
      </c>
      <c r="E114" t="s">
        <v>188</v>
      </c>
      <c r="F114">
        <v>5</v>
      </c>
      <c r="G114" t="str">
        <f>VLOOKUP(Table28[[#This Row],[SKU]],Supplier_Products[[#All],[Supplier]:[SKU]],3,FALSE)</f>
        <v>PlayMax</v>
      </c>
      <c r="H114" t="str" cm="1">
        <f t="array" ref="H114">_xlfn.XLOOKUP(Table28[[#This Row],[SKU]],Supplier_Products[[#All],[SKU]],Supplier_Products[[#All],[Supplier]])</f>
        <v>PlayMax</v>
      </c>
    </row>
    <row r="115" spans="1:8" x14ac:dyDescent="0.3">
      <c r="A115">
        <v>1114</v>
      </c>
      <c r="B115">
        <v>719</v>
      </c>
      <c r="C115" t="s">
        <v>9</v>
      </c>
      <c r="D115" s="5">
        <v>45482</v>
      </c>
      <c r="E115" t="s">
        <v>14</v>
      </c>
      <c r="F115">
        <v>5</v>
      </c>
      <c r="G115" t="str">
        <f>VLOOKUP(Table28[[#This Row],[SKU]],Supplier_Products[[#All],[Supplier]:[SKU]],3,FALSE)</f>
        <v>CompuTech</v>
      </c>
      <c r="H115" t="str" cm="1">
        <f t="array" ref="H115">_xlfn.XLOOKUP(Table28[[#This Row],[SKU]],Supplier_Products[[#All],[SKU]],Supplier_Products[[#All],[Supplier]])</f>
        <v>CompuTech</v>
      </c>
    </row>
    <row r="116" spans="1:8" x14ac:dyDescent="0.3">
      <c r="A116">
        <v>1115</v>
      </c>
      <c r="B116">
        <v>646</v>
      </c>
      <c r="C116" t="s">
        <v>162</v>
      </c>
      <c r="D116" s="5">
        <v>45355</v>
      </c>
      <c r="E116" t="s">
        <v>189</v>
      </c>
      <c r="F116">
        <v>12</v>
      </c>
      <c r="G116" t="str">
        <f>VLOOKUP(Table28[[#This Row],[SKU]],Supplier_Products[[#All],[Supplier]:[SKU]],3,FALSE)</f>
        <v>AeroTech</v>
      </c>
      <c r="H116" t="str" cm="1">
        <f t="array" ref="H116">_xlfn.XLOOKUP(Table28[[#This Row],[SKU]],Supplier_Products[[#All],[SKU]],Supplier_Products[[#All],[Supplier]])</f>
        <v>AeroTech</v>
      </c>
    </row>
    <row r="117" spans="1:8" x14ac:dyDescent="0.3">
      <c r="A117">
        <v>1116</v>
      </c>
      <c r="B117">
        <v>583</v>
      </c>
      <c r="C117" t="s">
        <v>73</v>
      </c>
      <c r="D117" s="5">
        <v>45558</v>
      </c>
      <c r="E117" t="s">
        <v>186</v>
      </c>
      <c r="F117">
        <v>20</v>
      </c>
      <c r="G117" t="str">
        <f>VLOOKUP(Table28[[#This Row],[SKU]],Supplier_Products[[#All],[Supplier]:[SKU]],3,FALSE)</f>
        <v>ClickTech</v>
      </c>
      <c r="H117" t="str" cm="1">
        <f t="array" ref="H117">_xlfn.XLOOKUP(Table28[[#This Row],[SKU]],Supplier_Products[[#All],[SKU]],Supplier_Products[[#All],[Supplier]])</f>
        <v>ClickTech</v>
      </c>
    </row>
    <row r="118" spans="1:8" x14ac:dyDescent="0.3">
      <c r="A118">
        <v>1117</v>
      </c>
      <c r="B118">
        <v>676</v>
      </c>
      <c r="C118" t="s">
        <v>178</v>
      </c>
      <c r="D118" s="5">
        <v>45383</v>
      </c>
      <c r="E118" t="s">
        <v>13</v>
      </c>
      <c r="F118">
        <v>12</v>
      </c>
      <c r="G118" t="str">
        <f>VLOOKUP(Table28[[#This Row],[SKU]],Supplier_Products[[#All],[Supplier]:[SKU]],3,FALSE)</f>
        <v>DockIt</v>
      </c>
      <c r="H118" t="str" cm="1">
        <f t="array" ref="H118">_xlfn.XLOOKUP(Table28[[#This Row],[SKU]],Supplier_Products[[#All],[SKU]],Supplier_Products[[#All],[Supplier]])</f>
        <v>DockIt</v>
      </c>
    </row>
    <row r="119" spans="1:8" x14ac:dyDescent="0.3">
      <c r="A119">
        <v>1118</v>
      </c>
      <c r="B119">
        <v>629</v>
      </c>
      <c r="C119" t="s">
        <v>129</v>
      </c>
      <c r="D119" s="5">
        <v>45321</v>
      </c>
      <c r="E119" t="s">
        <v>12</v>
      </c>
      <c r="F119">
        <v>11</v>
      </c>
      <c r="G119" t="str">
        <f>VLOOKUP(Table28[[#This Row],[SKU]],Supplier_Products[[#All],[Supplier]:[SKU]],3,FALSE)</f>
        <v>StreamIt</v>
      </c>
      <c r="H119" t="str" cm="1">
        <f t="array" ref="H119">_xlfn.XLOOKUP(Table28[[#This Row],[SKU]],Supplier_Products[[#All],[SKU]],Supplier_Products[[#All],[Supplier]])</f>
        <v>StreamIt</v>
      </c>
    </row>
    <row r="120" spans="1:8" x14ac:dyDescent="0.3">
      <c r="A120">
        <v>1119</v>
      </c>
      <c r="B120">
        <v>675</v>
      </c>
      <c r="C120" t="s">
        <v>154</v>
      </c>
      <c r="D120" s="5">
        <v>45480</v>
      </c>
      <c r="E120" t="s">
        <v>187</v>
      </c>
      <c r="F120">
        <v>19</v>
      </c>
      <c r="G120" t="str">
        <f>VLOOKUP(Table28[[#This Row],[SKU]],Supplier_Products[[#All],[Supplier]:[SKU]],3,FALSE)</f>
        <v>ShutterPro</v>
      </c>
      <c r="H120" t="str" cm="1">
        <f t="array" ref="H120">_xlfn.XLOOKUP(Table28[[#This Row],[SKU]],Supplier_Products[[#All],[SKU]],Supplier_Products[[#All],[Supplier]])</f>
        <v>ShutterPro</v>
      </c>
    </row>
    <row r="121" spans="1:8" x14ac:dyDescent="0.3">
      <c r="A121">
        <v>1120</v>
      </c>
      <c r="B121">
        <v>678</v>
      </c>
      <c r="C121" t="s">
        <v>150</v>
      </c>
      <c r="D121" s="5">
        <v>45638</v>
      </c>
      <c r="E121" t="s">
        <v>187</v>
      </c>
      <c r="F121">
        <v>14</v>
      </c>
      <c r="G121" t="str">
        <f>VLOOKUP(Table28[[#This Row],[SKU]],Supplier_Products[[#All],[Supplier]:[SKU]],3,FALSE)</f>
        <v>ShutterPro</v>
      </c>
      <c r="H121" t="str" cm="1">
        <f t="array" ref="H121">_xlfn.XLOOKUP(Table28[[#This Row],[SKU]],Supplier_Products[[#All],[SKU]],Supplier_Products[[#All],[Supplier]])</f>
        <v>ShutterPro</v>
      </c>
    </row>
    <row r="122" spans="1:8" x14ac:dyDescent="0.3">
      <c r="A122">
        <v>1121</v>
      </c>
      <c r="B122">
        <v>509</v>
      </c>
      <c r="C122" t="s">
        <v>137</v>
      </c>
      <c r="D122" s="5">
        <v>45611</v>
      </c>
      <c r="E122" t="s">
        <v>188</v>
      </c>
      <c r="F122">
        <v>1</v>
      </c>
      <c r="G122" t="str">
        <f>VLOOKUP(Table28[[#This Row],[SKU]],Supplier_Products[[#All],[Supplier]:[SKU]],3,FALSE)</f>
        <v>CleanBot</v>
      </c>
      <c r="H122" t="str" cm="1">
        <f t="array" ref="H122">_xlfn.XLOOKUP(Table28[[#This Row],[SKU]],Supplier_Products[[#All],[SKU]],Supplier_Products[[#All],[Supplier]])</f>
        <v>CleanBot</v>
      </c>
    </row>
    <row r="123" spans="1:8" x14ac:dyDescent="0.3">
      <c r="A123">
        <v>1122</v>
      </c>
      <c r="B123">
        <v>567</v>
      </c>
      <c r="C123" t="s">
        <v>162</v>
      </c>
      <c r="D123" s="5">
        <v>45310</v>
      </c>
      <c r="E123" t="s">
        <v>189</v>
      </c>
      <c r="F123">
        <v>15</v>
      </c>
      <c r="G123" t="str">
        <f>VLOOKUP(Table28[[#This Row],[SKU]],Supplier_Products[[#All],[Supplier]:[SKU]],3,FALSE)</f>
        <v>AeroTech</v>
      </c>
      <c r="H123" t="str" cm="1">
        <f t="array" ref="H123">_xlfn.XLOOKUP(Table28[[#This Row],[SKU]],Supplier_Products[[#All],[SKU]],Supplier_Products[[#All],[Supplier]])</f>
        <v>AeroTech</v>
      </c>
    </row>
    <row r="124" spans="1:8" x14ac:dyDescent="0.3">
      <c r="A124">
        <v>1123</v>
      </c>
      <c r="B124">
        <v>526</v>
      </c>
      <c r="C124" t="s">
        <v>114</v>
      </c>
      <c r="D124" s="5">
        <v>45492</v>
      </c>
      <c r="E124" t="s">
        <v>189</v>
      </c>
      <c r="F124">
        <v>4</v>
      </c>
      <c r="G124" t="str">
        <f>VLOOKUP(Table28[[#This Row],[SKU]],Supplier_Products[[#All],[Supplier]:[SKU]],3,FALSE)</f>
        <v>VisionTech</v>
      </c>
      <c r="H124" t="str" cm="1">
        <f t="array" ref="H124">_xlfn.XLOOKUP(Table28[[#This Row],[SKU]],Supplier_Products[[#All],[SKU]],Supplier_Products[[#All],[Supplier]])</f>
        <v>VisionTech</v>
      </c>
    </row>
    <row r="125" spans="1:8" x14ac:dyDescent="0.3">
      <c r="A125">
        <v>1124</v>
      </c>
      <c r="B125">
        <v>578</v>
      </c>
      <c r="C125" t="s">
        <v>137</v>
      </c>
      <c r="D125" s="5">
        <v>45527</v>
      </c>
      <c r="E125" t="s">
        <v>188</v>
      </c>
      <c r="F125">
        <v>16</v>
      </c>
      <c r="G125" t="str">
        <f>VLOOKUP(Table28[[#This Row],[SKU]],Supplier_Products[[#All],[Supplier]:[SKU]],3,FALSE)</f>
        <v>CleanBot</v>
      </c>
      <c r="H125" t="str" cm="1">
        <f t="array" ref="H125">_xlfn.XLOOKUP(Table28[[#This Row],[SKU]],Supplier_Products[[#All],[SKU]],Supplier_Products[[#All],[Supplier]])</f>
        <v>CleanBot</v>
      </c>
    </row>
    <row r="126" spans="1:8" x14ac:dyDescent="0.3">
      <c r="A126">
        <v>1125</v>
      </c>
      <c r="B126">
        <v>594</v>
      </c>
      <c r="C126" t="s">
        <v>154</v>
      </c>
      <c r="D126" s="5">
        <v>45385</v>
      </c>
      <c r="E126" t="s">
        <v>187</v>
      </c>
      <c r="F126">
        <v>3</v>
      </c>
      <c r="G126" t="str">
        <f>VLOOKUP(Table28[[#This Row],[SKU]],Supplier_Products[[#All],[Supplier]:[SKU]],3,FALSE)</f>
        <v>ShutterPro</v>
      </c>
      <c r="H126" t="str" cm="1">
        <f t="array" ref="H126">_xlfn.XLOOKUP(Table28[[#This Row],[SKU]],Supplier_Products[[#All],[SKU]],Supplier_Products[[#All],[Supplier]])</f>
        <v>ShutterPro</v>
      </c>
    </row>
    <row r="127" spans="1:8" x14ac:dyDescent="0.3">
      <c r="A127">
        <v>1126</v>
      </c>
      <c r="B127">
        <v>604</v>
      </c>
      <c r="C127" t="s">
        <v>175</v>
      </c>
      <c r="D127" s="5">
        <v>45615</v>
      </c>
      <c r="E127" t="s">
        <v>186</v>
      </c>
      <c r="F127">
        <v>11</v>
      </c>
      <c r="G127" t="str">
        <f>VLOOKUP(Table28[[#This Row],[SKU]],Supplier_Products[[#All],[Supplier]:[SKU]],3,FALSE)</f>
        <v>DisplayPro</v>
      </c>
      <c r="H127" t="str" cm="1">
        <f t="array" ref="H127">_xlfn.XLOOKUP(Table28[[#This Row],[SKU]],Supplier_Products[[#All],[SKU]],Supplier_Products[[#All],[Supplier]])</f>
        <v>DisplayPro</v>
      </c>
    </row>
    <row r="128" spans="1:8" x14ac:dyDescent="0.3">
      <c r="A128">
        <v>1127</v>
      </c>
      <c r="B128">
        <v>545</v>
      </c>
      <c r="C128" t="s">
        <v>129</v>
      </c>
      <c r="D128" s="5">
        <v>45621</v>
      </c>
      <c r="E128" t="s">
        <v>12</v>
      </c>
      <c r="F128">
        <v>14</v>
      </c>
      <c r="G128" t="str">
        <f>VLOOKUP(Table28[[#This Row],[SKU]],Supplier_Products[[#All],[Supplier]:[SKU]],3,FALSE)</f>
        <v>StreamIt</v>
      </c>
      <c r="H128" t="str" cm="1">
        <f t="array" ref="H128">_xlfn.XLOOKUP(Table28[[#This Row],[SKU]],Supplier_Products[[#All],[SKU]],Supplier_Products[[#All],[Supplier]])</f>
        <v>StreamIt</v>
      </c>
    </row>
    <row r="129" spans="1:8" x14ac:dyDescent="0.3">
      <c r="A129">
        <v>1128</v>
      </c>
      <c r="B129">
        <v>703</v>
      </c>
      <c r="C129" t="s">
        <v>6</v>
      </c>
      <c r="D129" s="5">
        <v>45449</v>
      </c>
      <c r="E129" t="s">
        <v>12</v>
      </c>
      <c r="F129">
        <v>9</v>
      </c>
      <c r="G129" t="str">
        <f>VLOOKUP(Table28[[#This Row],[SKU]],Supplier_Products[[#All],[Supplier]:[SKU]],3,FALSE)</f>
        <v>TechCorp</v>
      </c>
      <c r="H129" t="str" cm="1">
        <f t="array" ref="H129">_xlfn.XLOOKUP(Table28[[#This Row],[SKU]],Supplier_Products[[#All],[SKU]],Supplier_Products[[#All],[Supplier]])</f>
        <v>TechCorp</v>
      </c>
    </row>
    <row r="130" spans="1:8" x14ac:dyDescent="0.3">
      <c r="A130">
        <v>1129</v>
      </c>
      <c r="B130">
        <v>532</v>
      </c>
      <c r="C130" t="s">
        <v>160</v>
      </c>
      <c r="D130" s="5">
        <v>45533</v>
      </c>
      <c r="E130" t="s">
        <v>13</v>
      </c>
      <c r="F130">
        <v>5</v>
      </c>
      <c r="G130" t="str">
        <f>VLOOKUP(Table28[[#This Row],[SKU]],Supplier_Products[[#All],[Supplier]:[SKU]],3,FALSE)</f>
        <v>SoundCo</v>
      </c>
      <c r="H130" t="str" cm="1">
        <f t="array" ref="H130">_xlfn.XLOOKUP(Table28[[#This Row],[SKU]],Supplier_Products[[#All],[SKU]],Supplier_Products[[#All],[Supplier]])</f>
        <v>SoundCo</v>
      </c>
    </row>
    <row r="131" spans="1:8" x14ac:dyDescent="0.3">
      <c r="A131">
        <v>1130</v>
      </c>
      <c r="B131">
        <v>741</v>
      </c>
      <c r="C131" t="s">
        <v>148</v>
      </c>
      <c r="D131" s="5">
        <v>45550</v>
      </c>
      <c r="E131" t="s">
        <v>12</v>
      </c>
      <c r="F131">
        <v>7</v>
      </c>
      <c r="G131" t="str">
        <f>VLOOKUP(Table28[[#This Row],[SKU]],Supplier_Products[[#All],[Supplier]:[SKU]],3,FALSE)</f>
        <v>ChargePro</v>
      </c>
      <c r="H131" t="str" cm="1">
        <f t="array" ref="H131">_xlfn.XLOOKUP(Table28[[#This Row],[SKU]],Supplier_Products[[#All],[SKU]],Supplier_Products[[#All],[Supplier]])</f>
        <v>ChargePro</v>
      </c>
    </row>
    <row r="132" spans="1:8" x14ac:dyDescent="0.3">
      <c r="A132">
        <v>1131</v>
      </c>
      <c r="B132">
        <v>688</v>
      </c>
      <c r="C132" t="s">
        <v>121</v>
      </c>
      <c r="D132" s="5">
        <v>45437</v>
      </c>
      <c r="E132" t="s">
        <v>186</v>
      </c>
      <c r="F132">
        <v>19</v>
      </c>
      <c r="G132" t="str">
        <f>VLOOKUP(Table28[[#This Row],[SKU]],Supplier_Products[[#All],[Supplier]:[SKU]],3,FALSE)</f>
        <v>ClickTech</v>
      </c>
      <c r="H132" t="str" cm="1">
        <f t="array" ref="H132">_xlfn.XLOOKUP(Table28[[#This Row],[SKU]],Supplier_Products[[#All],[SKU]],Supplier_Products[[#All],[Supplier]])</f>
        <v>ClickTech</v>
      </c>
    </row>
    <row r="133" spans="1:8" x14ac:dyDescent="0.3">
      <c r="A133">
        <v>1132</v>
      </c>
      <c r="B133">
        <v>571</v>
      </c>
      <c r="C133" t="s">
        <v>173</v>
      </c>
      <c r="D133" s="5">
        <v>45420</v>
      </c>
      <c r="E133" t="s">
        <v>14</v>
      </c>
      <c r="F133">
        <v>16</v>
      </c>
      <c r="G133" t="str">
        <f>VLOOKUP(Table28[[#This Row],[SKU]],Supplier_Products[[#All],[Supplier]:[SKU]],3,FALSE)</f>
        <v>SafeTech</v>
      </c>
      <c r="H133" t="str" cm="1">
        <f t="array" ref="H133">_xlfn.XLOOKUP(Table28[[#This Row],[SKU]],Supplier_Products[[#All],[SKU]],Supplier_Products[[#All],[Supplier]])</f>
        <v>SafeTech</v>
      </c>
    </row>
    <row r="134" spans="1:8" x14ac:dyDescent="0.3">
      <c r="A134">
        <v>1133</v>
      </c>
      <c r="B134">
        <v>671</v>
      </c>
      <c r="C134" t="s">
        <v>158</v>
      </c>
      <c r="D134" s="5">
        <v>45649</v>
      </c>
      <c r="E134" t="s">
        <v>186</v>
      </c>
      <c r="F134">
        <v>3</v>
      </c>
      <c r="G134" t="str">
        <f>VLOOKUP(Table28[[#This Row],[SKU]],Supplier_Products[[#All],[Supplier]:[SKU]],3,FALSE)</f>
        <v>ClickTech</v>
      </c>
      <c r="H134" t="str" cm="1">
        <f t="array" ref="H134">_xlfn.XLOOKUP(Table28[[#This Row],[SKU]],Supplier_Products[[#All],[SKU]],Supplier_Products[[#All],[Supplier]])</f>
        <v>ClickTech</v>
      </c>
    </row>
    <row r="135" spans="1:8" x14ac:dyDescent="0.3">
      <c r="A135">
        <v>1134</v>
      </c>
      <c r="B135">
        <v>603</v>
      </c>
      <c r="C135" t="s">
        <v>178</v>
      </c>
      <c r="D135" s="5">
        <v>45620</v>
      </c>
      <c r="E135" t="s">
        <v>13</v>
      </c>
      <c r="F135">
        <v>9</v>
      </c>
      <c r="G135" t="str">
        <f>VLOOKUP(Table28[[#This Row],[SKU]],Supplier_Products[[#All],[Supplier]:[SKU]],3,FALSE)</f>
        <v>DockIt</v>
      </c>
      <c r="H135" t="str" cm="1">
        <f t="array" ref="H135">_xlfn.XLOOKUP(Table28[[#This Row],[SKU]],Supplier_Products[[#All],[SKU]],Supplier_Products[[#All],[Supplier]])</f>
        <v>DockIt</v>
      </c>
    </row>
    <row r="136" spans="1:8" x14ac:dyDescent="0.3">
      <c r="A136">
        <v>1135</v>
      </c>
      <c r="B136">
        <v>649</v>
      </c>
      <c r="C136" t="s">
        <v>169</v>
      </c>
      <c r="D136" s="5">
        <v>45613</v>
      </c>
      <c r="E136" t="s">
        <v>14</v>
      </c>
      <c r="F136">
        <v>9</v>
      </c>
      <c r="G136" t="str">
        <f>VLOOKUP(Table28[[#This Row],[SKU]],Supplier_Products[[#All],[Supplier]:[SKU]],3,FALSE)</f>
        <v>SafeDrive</v>
      </c>
      <c r="H136" t="str" cm="1">
        <f t="array" ref="H136">_xlfn.XLOOKUP(Table28[[#This Row],[SKU]],Supplier_Products[[#All],[SKU]],Supplier_Products[[#All],[Supplier]])</f>
        <v>SafeDrive</v>
      </c>
    </row>
    <row r="137" spans="1:8" x14ac:dyDescent="0.3">
      <c r="A137">
        <v>1136</v>
      </c>
      <c r="B137">
        <v>528</v>
      </c>
      <c r="C137" t="s">
        <v>137</v>
      </c>
      <c r="D137" s="5">
        <v>45423</v>
      </c>
      <c r="E137" t="s">
        <v>188</v>
      </c>
      <c r="F137">
        <v>17</v>
      </c>
      <c r="G137" t="str">
        <f>VLOOKUP(Table28[[#This Row],[SKU]],Supplier_Products[[#All],[Supplier]:[SKU]],3,FALSE)</f>
        <v>CleanBot</v>
      </c>
      <c r="H137" t="str" cm="1">
        <f t="array" ref="H137">_xlfn.XLOOKUP(Table28[[#This Row],[SKU]],Supplier_Products[[#All],[SKU]],Supplier_Products[[#All],[Supplier]])</f>
        <v>CleanBot</v>
      </c>
    </row>
    <row r="138" spans="1:8" x14ac:dyDescent="0.3">
      <c r="A138">
        <v>1137</v>
      </c>
      <c r="B138">
        <v>736</v>
      </c>
      <c r="C138" t="s">
        <v>175</v>
      </c>
      <c r="D138" s="5">
        <v>45510</v>
      </c>
      <c r="E138" t="s">
        <v>186</v>
      </c>
      <c r="F138">
        <v>4</v>
      </c>
      <c r="G138" t="str">
        <f>VLOOKUP(Table28[[#This Row],[SKU]],Supplier_Products[[#All],[Supplier]:[SKU]],3,FALSE)</f>
        <v>DisplayPro</v>
      </c>
      <c r="H138" t="str" cm="1">
        <f t="array" ref="H138">_xlfn.XLOOKUP(Table28[[#This Row],[SKU]],Supplier_Products[[#All],[SKU]],Supplier_Products[[#All],[Supplier]])</f>
        <v>DisplayPro</v>
      </c>
    </row>
    <row r="139" spans="1:8" x14ac:dyDescent="0.3">
      <c r="A139">
        <v>1138</v>
      </c>
      <c r="B139">
        <v>739</v>
      </c>
      <c r="C139" t="s">
        <v>158</v>
      </c>
      <c r="D139" s="5">
        <v>45488</v>
      </c>
      <c r="E139" t="s">
        <v>186</v>
      </c>
      <c r="F139">
        <v>20</v>
      </c>
      <c r="G139" t="str">
        <f>VLOOKUP(Table28[[#This Row],[SKU]],Supplier_Products[[#All],[Supplier]:[SKU]],3,FALSE)</f>
        <v>ClickTech</v>
      </c>
      <c r="H139" t="str" cm="1">
        <f t="array" ref="H139">_xlfn.XLOOKUP(Table28[[#This Row],[SKU]],Supplier_Products[[#All],[SKU]],Supplier_Products[[#All],[Supplier]])</f>
        <v>ClickTech</v>
      </c>
    </row>
    <row r="140" spans="1:8" x14ac:dyDescent="0.3">
      <c r="A140">
        <v>1139</v>
      </c>
      <c r="B140">
        <v>593</v>
      </c>
      <c r="C140" t="s">
        <v>156</v>
      </c>
      <c r="D140" s="5">
        <v>45641</v>
      </c>
      <c r="E140" t="s">
        <v>186</v>
      </c>
      <c r="F140">
        <v>13</v>
      </c>
      <c r="G140" t="str">
        <f>VLOOKUP(Table28[[#This Row],[SKU]],Supplier_Products[[#All],[Supplier]:[SKU]],3,FALSE)</f>
        <v>ClickTech</v>
      </c>
      <c r="H140" t="str" cm="1">
        <f t="array" ref="H140">_xlfn.XLOOKUP(Table28[[#This Row],[SKU]],Supplier_Products[[#All],[SKU]],Supplier_Products[[#All],[Supplier]])</f>
        <v>ClickTech</v>
      </c>
    </row>
    <row r="141" spans="1:8" x14ac:dyDescent="0.3">
      <c r="A141">
        <v>1140</v>
      </c>
      <c r="B141">
        <v>623</v>
      </c>
      <c r="C141" t="s">
        <v>162</v>
      </c>
      <c r="D141" s="5">
        <v>45604</v>
      </c>
      <c r="E141" t="s">
        <v>189</v>
      </c>
      <c r="F141">
        <v>12</v>
      </c>
      <c r="G141" t="str">
        <f>VLOOKUP(Table28[[#This Row],[SKU]],Supplier_Products[[#All],[Supplier]:[SKU]],3,FALSE)</f>
        <v>AeroTech</v>
      </c>
      <c r="H141" t="str" cm="1">
        <f t="array" ref="H141">_xlfn.XLOOKUP(Table28[[#This Row],[SKU]],Supplier_Products[[#All],[SKU]],Supplier_Products[[#All],[Supplier]])</f>
        <v>AeroTech</v>
      </c>
    </row>
    <row r="142" spans="1:8" x14ac:dyDescent="0.3">
      <c r="A142">
        <v>1141</v>
      </c>
      <c r="B142">
        <v>687</v>
      </c>
      <c r="C142" t="s">
        <v>150</v>
      </c>
      <c r="D142" s="5">
        <v>45478</v>
      </c>
      <c r="E142" t="s">
        <v>187</v>
      </c>
      <c r="F142">
        <v>13</v>
      </c>
      <c r="G142" t="str">
        <f>VLOOKUP(Table28[[#This Row],[SKU]],Supplier_Products[[#All],[Supplier]:[SKU]],3,FALSE)</f>
        <v>ShutterPro</v>
      </c>
      <c r="H142" t="str" cm="1">
        <f t="array" ref="H142">_xlfn.XLOOKUP(Table28[[#This Row],[SKU]],Supplier_Products[[#All],[SKU]],Supplier_Products[[#All],[Supplier]])</f>
        <v>ShutterPro</v>
      </c>
    </row>
    <row r="143" spans="1:8" x14ac:dyDescent="0.3">
      <c r="A143">
        <v>1142</v>
      </c>
      <c r="B143">
        <v>739</v>
      </c>
      <c r="C143" t="s">
        <v>173</v>
      </c>
      <c r="D143" s="5">
        <v>45651</v>
      </c>
      <c r="E143" t="s">
        <v>14</v>
      </c>
      <c r="F143">
        <v>16</v>
      </c>
      <c r="G143" t="str">
        <f>VLOOKUP(Table28[[#This Row],[SKU]],Supplier_Products[[#All],[Supplier]:[SKU]],3,FALSE)</f>
        <v>SafeTech</v>
      </c>
      <c r="H143" t="str" cm="1">
        <f t="array" ref="H143">_xlfn.XLOOKUP(Table28[[#This Row],[SKU]],Supplier_Products[[#All],[SKU]],Supplier_Products[[#All],[Supplier]])</f>
        <v>SafeTech</v>
      </c>
    </row>
    <row r="144" spans="1:8" x14ac:dyDescent="0.3">
      <c r="A144">
        <v>1143</v>
      </c>
      <c r="B144">
        <v>706</v>
      </c>
      <c r="C144" t="s">
        <v>181</v>
      </c>
      <c r="D144" s="5">
        <v>45506</v>
      </c>
      <c r="E144" t="s">
        <v>12</v>
      </c>
      <c r="F144">
        <v>15</v>
      </c>
      <c r="G144" t="str">
        <f>VLOOKUP(Table28[[#This Row],[SKU]],Supplier_Products[[#All],[Supplier]:[SKU]],3,FALSE)</f>
        <v>PhotoFrame Inc.</v>
      </c>
      <c r="H144" t="str" cm="1">
        <f t="array" ref="H144">_xlfn.XLOOKUP(Table28[[#This Row],[SKU]],Supplier_Products[[#All],[SKU]],Supplier_Products[[#All],[Supplier]])</f>
        <v>PhotoFrame Inc.</v>
      </c>
    </row>
    <row r="145" spans="1:8" x14ac:dyDescent="0.3">
      <c r="A145">
        <v>1144</v>
      </c>
      <c r="B145">
        <v>608</v>
      </c>
      <c r="C145" t="s">
        <v>133</v>
      </c>
      <c r="D145" s="5">
        <v>45585</v>
      </c>
      <c r="E145" t="s">
        <v>14</v>
      </c>
      <c r="F145">
        <v>20</v>
      </c>
      <c r="G145" t="str">
        <f>VLOOKUP(Table28[[#This Row],[SKU]],Supplier_Products[[#All],[Supplier]:[SKU]],3,FALSE)</f>
        <v>SafeTech</v>
      </c>
      <c r="H145" t="str" cm="1">
        <f t="array" ref="H145">_xlfn.XLOOKUP(Table28[[#This Row],[SKU]],Supplier_Products[[#All],[SKU]],Supplier_Products[[#All],[Supplier]])</f>
        <v>SafeTech</v>
      </c>
    </row>
    <row r="146" spans="1:8" x14ac:dyDescent="0.3">
      <c r="A146">
        <v>1145</v>
      </c>
      <c r="B146">
        <v>532</v>
      </c>
      <c r="C146" t="s">
        <v>178</v>
      </c>
      <c r="D146" s="5">
        <v>45325</v>
      </c>
      <c r="E146" t="s">
        <v>13</v>
      </c>
      <c r="F146">
        <v>18</v>
      </c>
      <c r="G146" t="str">
        <f>VLOOKUP(Table28[[#This Row],[SKU]],Supplier_Products[[#All],[Supplier]:[SKU]],3,FALSE)</f>
        <v>DockIt</v>
      </c>
      <c r="H146" t="str" cm="1">
        <f t="array" ref="H146">_xlfn.XLOOKUP(Table28[[#This Row],[SKU]],Supplier_Products[[#All],[SKU]],Supplier_Products[[#All],[Supplier]])</f>
        <v>DockIt</v>
      </c>
    </row>
    <row r="147" spans="1:8" x14ac:dyDescent="0.3">
      <c r="A147">
        <v>1146</v>
      </c>
      <c r="B147">
        <v>666</v>
      </c>
      <c r="C147" t="s">
        <v>148</v>
      </c>
      <c r="D147" s="5">
        <v>45624</v>
      </c>
      <c r="E147" t="s">
        <v>12</v>
      </c>
      <c r="F147">
        <v>7</v>
      </c>
      <c r="G147" t="str">
        <f>VLOOKUP(Table28[[#This Row],[SKU]],Supplier_Products[[#All],[Supplier]:[SKU]],3,FALSE)</f>
        <v>ChargePro</v>
      </c>
      <c r="H147" t="str" cm="1">
        <f t="array" ref="H147">_xlfn.XLOOKUP(Table28[[#This Row],[SKU]],Supplier_Products[[#All],[SKU]],Supplier_Products[[#All],[Supplier]])</f>
        <v>ChargePro</v>
      </c>
    </row>
    <row r="148" spans="1:8" x14ac:dyDescent="0.3">
      <c r="A148">
        <v>1147</v>
      </c>
      <c r="B148">
        <v>705</v>
      </c>
      <c r="C148" t="s">
        <v>73</v>
      </c>
      <c r="D148" s="5">
        <v>45510</v>
      </c>
      <c r="E148" t="s">
        <v>186</v>
      </c>
      <c r="F148">
        <v>18</v>
      </c>
      <c r="G148" t="str">
        <f>VLOOKUP(Table28[[#This Row],[SKU]],Supplier_Products[[#All],[Supplier]:[SKU]],3,FALSE)</f>
        <v>ClickTech</v>
      </c>
      <c r="H148" t="str" cm="1">
        <f t="array" ref="H148">_xlfn.XLOOKUP(Table28[[#This Row],[SKU]],Supplier_Products[[#All],[SKU]],Supplier_Products[[#All],[Supplier]])</f>
        <v>ClickTech</v>
      </c>
    </row>
    <row r="149" spans="1:8" x14ac:dyDescent="0.3">
      <c r="A149">
        <v>1148</v>
      </c>
      <c r="B149">
        <v>648</v>
      </c>
      <c r="C149" t="s">
        <v>140</v>
      </c>
      <c r="D149" s="5">
        <v>45640</v>
      </c>
      <c r="E149" t="s">
        <v>187</v>
      </c>
      <c r="F149">
        <v>3</v>
      </c>
      <c r="G149" t="str">
        <f>VLOOKUP(Table28[[#This Row],[SKU]],Supplier_Products[[#All],[Supplier]:[SKU]],3,FALSE)</f>
        <v>SoundWave</v>
      </c>
      <c r="H149" t="str" cm="1">
        <f t="array" ref="H149">_xlfn.XLOOKUP(Table28[[#This Row],[SKU]],Supplier_Products[[#All],[SKU]],Supplier_Products[[#All],[Supplier]])</f>
        <v>SoundWave</v>
      </c>
    </row>
    <row r="150" spans="1:8" x14ac:dyDescent="0.3">
      <c r="A150">
        <v>1149</v>
      </c>
      <c r="B150">
        <v>610</v>
      </c>
      <c r="C150" t="s">
        <v>137</v>
      </c>
      <c r="D150" s="5">
        <v>45387</v>
      </c>
      <c r="E150" t="s">
        <v>188</v>
      </c>
      <c r="F150">
        <v>14</v>
      </c>
      <c r="G150" t="str">
        <f>VLOOKUP(Table28[[#This Row],[SKU]],Supplier_Products[[#All],[Supplier]:[SKU]],3,FALSE)</f>
        <v>CleanBot</v>
      </c>
      <c r="H150" t="str" cm="1">
        <f t="array" ref="H150">_xlfn.XLOOKUP(Table28[[#This Row],[SKU]],Supplier_Products[[#All],[SKU]],Supplier_Products[[#All],[Supplier]])</f>
        <v>CleanBot</v>
      </c>
    </row>
    <row r="151" spans="1:8" x14ac:dyDescent="0.3">
      <c r="A151">
        <v>1150</v>
      </c>
      <c r="B151">
        <v>586</v>
      </c>
      <c r="C151" t="s">
        <v>126</v>
      </c>
      <c r="D151" s="5">
        <v>45353</v>
      </c>
      <c r="E151" t="s">
        <v>191</v>
      </c>
      <c r="F151">
        <v>7</v>
      </c>
      <c r="G151" t="str">
        <f>VLOOKUP(Table28[[#This Row],[SKU]],Supplier_Products[[#All],[Supplier]:[SKU]],3,FALSE)</f>
        <v>FitTech</v>
      </c>
      <c r="H151" t="str" cm="1">
        <f t="array" ref="H151">_xlfn.XLOOKUP(Table28[[#This Row],[SKU]],Supplier_Products[[#All],[SKU]],Supplier_Products[[#All],[Supplier]])</f>
        <v>FitTech</v>
      </c>
    </row>
    <row r="152" spans="1:8" x14ac:dyDescent="0.3">
      <c r="A152">
        <v>1151</v>
      </c>
      <c r="B152">
        <v>729</v>
      </c>
      <c r="C152" t="s">
        <v>7</v>
      </c>
      <c r="D152" s="5">
        <v>45308</v>
      </c>
      <c r="E152" t="s">
        <v>13</v>
      </c>
      <c r="F152">
        <v>9</v>
      </c>
      <c r="G152" t="str">
        <f>VLOOKUP(Table28[[#This Row],[SKU]],Supplier_Products[[#All],[Supplier]:[SKU]],3,FALSE)</f>
        <v>SoundCo</v>
      </c>
      <c r="H152" t="str" cm="1">
        <f t="array" ref="H152">_xlfn.XLOOKUP(Table28[[#This Row],[SKU]],Supplier_Products[[#All],[SKU]],Supplier_Products[[#All],[Supplier]])</f>
        <v>SoundCo</v>
      </c>
    </row>
    <row r="153" spans="1:8" x14ac:dyDescent="0.3">
      <c r="A153">
        <v>1152</v>
      </c>
      <c r="B153">
        <v>747</v>
      </c>
      <c r="C153" t="s">
        <v>142</v>
      </c>
      <c r="D153" s="5">
        <v>45514</v>
      </c>
      <c r="E153" t="s">
        <v>186</v>
      </c>
      <c r="F153">
        <v>14</v>
      </c>
      <c r="G153" t="str">
        <f>VLOOKUP(Table28[[#This Row],[SKU]],Supplier_Products[[#All],[Supplier]:[SKU]],3,FALSE)</f>
        <v>GPUForce</v>
      </c>
      <c r="H153" t="str" cm="1">
        <f t="array" ref="H153">_xlfn.XLOOKUP(Table28[[#This Row],[SKU]],Supplier_Products[[#All],[SKU]],Supplier_Products[[#All],[Supplier]])</f>
        <v>GPUForce</v>
      </c>
    </row>
    <row r="154" spans="1:8" x14ac:dyDescent="0.3">
      <c r="A154">
        <v>1153</v>
      </c>
      <c r="B154">
        <v>665</v>
      </c>
      <c r="C154" t="s">
        <v>126</v>
      </c>
      <c r="D154" s="5">
        <v>45572</v>
      </c>
      <c r="E154" t="s">
        <v>191</v>
      </c>
      <c r="F154">
        <v>1</v>
      </c>
      <c r="G154" t="str">
        <f>VLOOKUP(Table28[[#This Row],[SKU]],Supplier_Products[[#All],[Supplier]:[SKU]],3,FALSE)</f>
        <v>FitTech</v>
      </c>
      <c r="H154" t="str" cm="1">
        <f t="array" ref="H154">_xlfn.XLOOKUP(Table28[[#This Row],[SKU]],Supplier_Products[[#All],[SKU]],Supplier_Products[[#All],[Supplier]])</f>
        <v>FitTech</v>
      </c>
    </row>
    <row r="155" spans="1:8" x14ac:dyDescent="0.3">
      <c r="A155">
        <v>1154</v>
      </c>
      <c r="B155">
        <v>750</v>
      </c>
      <c r="C155" t="s">
        <v>11</v>
      </c>
      <c r="D155" s="5">
        <v>45551</v>
      </c>
      <c r="E155" t="s">
        <v>12</v>
      </c>
      <c r="F155">
        <v>8</v>
      </c>
      <c r="G155" t="str">
        <f>VLOOKUP(Table28[[#This Row],[SKU]],Supplier_Products[[#All],[Supplier]:[SKU]],3,FALSE)</f>
        <v>ChargePro</v>
      </c>
      <c r="H155" t="str" cm="1">
        <f t="array" ref="H155">_xlfn.XLOOKUP(Table28[[#This Row],[SKU]],Supplier_Products[[#All],[SKU]],Supplier_Products[[#All],[Supplier]])</f>
        <v>ChargePro</v>
      </c>
    </row>
    <row r="156" spans="1:8" x14ac:dyDescent="0.3">
      <c r="A156">
        <v>1155</v>
      </c>
      <c r="B156">
        <v>690</v>
      </c>
      <c r="C156" t="s">
        <v>129</v>
      </c>
      <c r="D156" s="5">
        <v>45516</v>
      </c>
      <c r="E156" t="s">
        <v>12</v>
      </c>
      <c r="F156">
        <v>18</v>
      </c>
      <c r="G156" t="str">
        <f>VLOOKUP(Table28[[#This Row],[SKU]],Supplier_Products[[#All],[Supplier]:[SKU]],3,FALSE)</f>
        <v>StreamIt</v>
      </c>
      <c r="H156" t="str" cm="1">
        <f t="array" ref="H156">_xlfn.XLOOKUP(Table28[[#This Row],[SKU]],Supplier_Products[[#All],[SKU]],Supplier_Products[[#All],[Supplier]])</f>
        <v>StreamIt</v>
      </c>
    </row>
    <row r="157" spans="1:8" x14ac:dyDescent="0.3">
      <c r="A157">
        <v>1156</v>
      </c>
      <c r="B157">
        <v>560</v>
      </c>
      <c r="C157" t="s">
        <v>158</v>
      </c>
      <c r="D157" s="5">
        <v>45317</v>
      </c>
      <c r="E157" t="s">
        <v>186</v>
      </c>
      <c r="F157">
        <v>12</v>
      </c>
      <c r="G157" t="str">
        <f>VLOOKUP(Table28[[#This Row],[SKU]],Supplier_Products[[#All],[Supplier]:[SKU]],3,FALSE)</f>
        <v>ClickTech</v>
      </c>
      <c r="H157" t="str" cm="1">
        <f t="array" ref="H157">_xlfn.XLOOKUP(Table28[[#This Row],[SKU]],Supplier_Products[[#All],[SKU]],Supplier_Products[[#All],[Supplier]])</f>
        <v>ClickTech</v>
      </c>
    </row>
    <row r="158" spans="1:8" x14ac:dyDescent="0.3">
      <c r="A158">
        <v>1157</v>
      </c>
      <c r="B158">
        <v>584</v>
      </c>
      <c r="C158" t="s">
        <v>162</v>
      </c>
      <c r="D158" s="5">
        <v>45295</v>
      </c>
      <c r="E158" t="s">
        <v>189</v>
      </c>
      <c r="F158">
        <v>13</v>
      </c>
      <c r="G158" t="str">
        <f>VLOOKUP(Table28[[#This Row],[SKU]],Supplier_Products[[#All],[Supplier]:[SKU]],3,FALSE)</f>
        <v>AeroTech</v>
      </c>
      <c r="H158" t="str" cm="1">
        <f t="array" ref="H158">_xlfn.XLOOKUP(Table28[[#This Row],[SKU]],Supplier_Products[[#All],[SKU]],Supplier_Products[[#All],[Supplier]])</f>
        <v>AeroTech</v>
      </c>
    </row>
    <row r="159" spans="1:8" x14ac:dyDescent="0.3">
      <c r="A159">
        <v>1158</v>
      </c>
      <c r="B159">
        <v>541</v>
      </c>
      <c r="C159" t="s">
        <v>10</v>
      </c>
      <c r="D159" s="5">
        <v>45344</v>
      </c>
      <c r="E159" t="s">
        <v>13</v>
      </c>
      <c r="F159">
        <v>3</v>
      </c>
      <c r="G159" t="str">
        <f>VLOOKUP(Table28[[#This Row],[SKU]],Supplier_Products[[#All],[Supplier]:[SKU]],3,FALSE)</f>
        <v>TabletMakers</v>
      </c>
      <c r="H159" t="str" cm="1">
        <f t="array" ref="H159">_xlfn.XLOOKUP(Table28[[#This Row],[SKU]],Supplier_Products[[#All],[SKU]],Supplier_Products[[#All],[Supplier]])</f>
        <v>TabletMakers</v>
      </c>
    </row>
    <row r="160" spans="1:8" x14ac:dyDescent="0.3">
      <c r="A160">
        <v>1159</v>
      </c>
      <c r="B160">
        <v>505</v>
      </c>
      <c r="C160" t="s">
        <v>158</v>
      </c>
      <c r="D160" s="5">
        <v>45655</v>
      </c>
      <c r="E160" t="s">
        <v>186</v>
      </c>
      <c r="F160">
        <v>10</v>
      </c>
      <c r="G160" t="str">
        <f>VLOOKUP(Table28[[#This Row],[SKU]],Supplier_Products[[#All],[Supplier]:[SKU]],3,FALSE)</f>
        <v>ClickTech</v>
      </c>
      <c r="H160" t="str" cm="1">
        <f t="array" ref="H160">_xlfn.XLOOKUP(Table28[[#This Row],[SKU]],Supplier_Products[[#All],[SKU]],Supplier_Products[[#All],[Supplier]])</f>
        <v>ClickTech</v>
      </c>
    </row>
    <row r="161" spans="1:8" x14ac:dyDescent="0.3">
      <c r="A161">
        <v>1160</v>
      </c>
      <c r="B161">
        <v>672</v>
      </c>
      <c r="C161" t="s">
        <v>175</v>
      </c>
      <c r="D161" s="5">
        <v>45596</v>
      </c>
      <c r="E161" t="s">
        <v>186</v>
      </c>
      <c r="F161">
        <v>13</v>
      </c>
      <c r="G161" t="str">
        <f>VLOOKUP(Table28[[#This Row],[SKU]],Supplier_Products[[#All],[Supplier]:[SKU]],3,FALSE)</f>
        <v>DisplayPro</v>
      </c>
      <c r="H161" t="str" cm="1">
        <f t="array" ref="H161">_xlfn.XLOOKUP(Table28[[#This Row],[SKU]],Supplier_Products[[#All],[SKU]],Supplier_Products[[#All],[Supplier]])</f>
        <v>DisplayPro</v>
      </c>
    </row>
    <row r="162" spans="1:8" x14ac:dyDescent="0.3">
      <c r="A162">
        <v>1161</v>
      </c>
      <c r="B162">
        <v>684</v>
      </c>
      <c r="C162" t="s">
        <v>178</v>
      </c>
      <c r="D162" s="5">
        <v>45371</v>
      </c>
      <c r="E162" t="s">
        <v>13</v>
      </c>
      <c r="F162">
        <v>19</v>
      </c>
      <c r="G162" t="str">
        <f>VLOOKUP(Table28[[#This Row],[SKU]],Supplier_Products[[#All],[Supplier]:[SKU]],3,FALSE)</f>
        <v>DockIt</v>
      </c>
      <c r="H162" t="str" cm="1">
        <f t="array" ref="H162">_xlfn.XLOOKUP(Table28[[#This Row],[SKU]],Supplier_Products[[#All],[SKU]],Supplier_Products[[#All],[Supplier]])</f>
        <v>DockIt</v>
      </c>
    </row>
    <row r="163" spans="1:8" x14ac:dyDescent="0.3">
      <c r="A163">
        <v>1162</v>
      </c>
      <c r="B163">
        <v>549</v>
      </c>
      <c r="C163" t="s">
        <v>184</v>
      </c>
      <c r="D163" s="5">
        <v>45556</v>
      </c>
      <c r="E163" t="s">
        <v>189</v>
      </c>
      <c r="F163">
        <v>12</v>
      </c>
      <c r="G163" t="str">
        <f>VLOOKUP(Table28[[#This Row],[SKU]],Supplier_Products[[#All],[Supplier]:[SKU]],3,FALSE)</f>
        <v>VisionTech</v>
      </c>
      <c r="H163" t="str" cm="1">
        <f t="array" ref="H163">_xlfn.XLOOKUP(Table28[[#This Row],[SKU]],Supplier_Products[[#All],[SKU]],Supplier_Products[[#All],[Supplier]])</f>
        <v>VisionTech</v>
      </c>
    </row>
    <row r="164" spans="1:8" x14ac:dyDescent="0.3">
      <c r="A164">
        <v>1163</v>
      </c>
      <c r="B164">
        <v>627</v>
      </c>
      <c r="C164" t="s">
        <v>178</v>
      </c>
      <c r="D164" s="5">
        <v>45313</v>
      </c>
      <c r="E164" t="s">
        <v>13</v>
      </c>
      <c r="F164">
        <v>3</v>
      </c>
      <c r="G164" t="str">
        <f>VLOOKUP(Table28[[#This Row],[SKU]],Supplier_Products[[#All],[Supplier]:[SKU]],3,FALSE)</f>
        <v>DockIt</v>
      </c>
      <c r="H164" t="str" cm="1">
        <f t="array" ref="H164">_xlfn.XLOOKUP(Table28[[#This Row],[SKU]],Supplier_Products[[#All],[SKU]],Supplier_Products[[#All],[Supplier]])</f>
        <v>DockIt</v>
      </c>
    </row>
    <row r="165" spans="1:8" x14ac:dyDescent="0.3">
      <c r="A165">
        <v>1164</v>
      </c>
      <c r="B165">
        <v>657</v>
      </c>
      <c r="C165" t="s">
        <v>150</v>
      </c>
      <c r="D165" s="5">
        <v>45628</v>
      </c>
      <c r="E165" t="s">
        <v>187</v>
      </c>
      <c r="F165">
        <v>13</v>
      </c>
      <c r="G165" t="str">
        <f>VLOOKUP(Table28[[#This Row],[SKU]],Supplier_Products[[#All],[Supplier]:[SKU]],3,FALSE)</f>
        <v>ShutterPro</v>
      </c>
      <c r="H165" t="str" cm="1">
        <f t="array" ref="H165">_xlfn.XLOOKUP(Table28[[#This Row],[SKU]],Supplier_Products[[#All],[SKU]],Supplier_Products[[#All],[Supplier]])</f>
        <v>ShutterPro</v>
      </c>
    </row>
    <row r="166" spans="1:8" x14ac:dyDescent="0.3">
      <c r="A166">
        <v>1165</v>
      </c>
      <c r="B166">
        <v>605</v>
      </c>
      <c r="C166" t="s">
        <v>175</v>
      </c>
      <c r="D166" s="5">
        <v>45558</v>
      </c>
      <c r="E166" t="s">
        <v>186</v>
      </c>
      <c r="F166">
        <v>8</v>
      </c>
      <c r="G166" t="str">
        <f>VLOOKUP(Table28[[#This Row],[SKU]],Supplier_Products[[#All],[Supplier]:[SKU]],3,FALSE)</f>
        <v>DisplayPro</v>
      </c>
      <c r="H166" t="str" cm="1">
        <f t="array" ref="H166">_xlfn.XLOOKUP(Table28[[#This Row],[SKU]],Supplier_Products[[#All],[SKU]],Supplier_Products[[#All],[Supplier]])</f>
        <v>DisplayPro</v>
      </c>
    </row>
    <row r="167" spans="1:8" x14ac:dyDescent="0.3">
      <c r="A167">
        <v>1166</v>
      </c>
      <c r="B167">
        <v>557</v>
      </c>
      <c r="C167" t="s">
        <v>166</v>
      </c>
      <c r="D167" s="5">
        <v>45478</v>
      </c>
      <c r="E167" t="s">
        <v>191</v>
      </c>
      <c r="F167">
        <v>13</v>
      </c>
      <c r="G167" t="str">
        <f>VLOOKUP(Table28[[#This Row],[SKU]],Supplier_Products[[#All],[Supplier]:[SKU]],3,FALSE)</f>
        <v>BookTech</v>
      </c>
      <c r="H167" t="str" cm="1">
        <f t="array" ref="H167">_xlfn.XLOOKUP(Table28[[#This Row],[SKU]],Supplier_Products[[#All],[SKU]],Supplier_Products[[#All],[Supplier]])</f>
        <v>BookTech</v>
      </c>
    </row>
    <row r="168" spans="1:8" x14ac:dyDescent="0.3">
      <c r="A168">
        <v>1167</v>
      </c>
      <c r="B168">
        <v>665</v>
      </c>
      <c r="C168" t="s">
        <v>117</v>
      </c>
      <c r="D168" s="5">
        <v>45593</v>
      </c>
      <c r="E168" t="s">
        <v>190</v>
      </c>
      <c r="F168">
        <v>17</v>
      </c>
      <c r="G168" t="str">
        <f>VLOOKUP(Table28[[#This Row],[SKU]],Supplier_Products[[#All],[Supplier]:[SKU]],3,FALSE)</f>
        <v>DataSafe</v>
      </c>
      <c r="H168" t="str" cm="1">
        <f t="array" ref="H168">_xlfn.XLOOKUP(Table28[[#This Row],[SKU]],Supplier_Products[[#All],[SKU]],Supplier_Products[[#All],[Supplier]])</f>
        <v>DataSafe</v>
      </c>
    </row>
    <row r="169" spans="1:8" x14ac:dyDescent="0.3">
      <c r="A169">
        <v>1168</v>
      </c>
      <c r="B169">
        <v>700</v>
      </c>
      <c r="C169" t="s">
        <v>7</v>
      </c>
      <c r="D169" s="5">
        <v>45311</v>
      </c>
      <c r="E169" t="s">
        <v>13</v>
      </c>
      <c r="F169">
        <v>2</v>
      </c>
      <c r="G169" t="str">
        <f>VLOOKUP(Table28[[#This Row],[SKU]],Supplier_Products[[#All],[Supplier]:[SKU]],3,FALSE)</f>
        <v>SoundCo</v>
      </c>
      <c r="H169" t="str" cm="1">
        <f t="array" ref="H169">_xlfn.XLOOKUP(Table28[[#This Row],[SKU]],Supplier_Products[[#All],[SKU]],Supplier_Products[[#All],[Supplier]])</f>
        <v>SoundCo</v>
      </c>
    </row>
    <row r="170" spans="1:8" x14ac:dyDescent="0.3">
      <c r="A170">
        <v>1169</v>
      </c>
      <c r="B170">
        <v>552</v>
      </c>
      <c r="C170" t="s">
        <v>10</v>
      </c>
      <c r="D170" s="5">
        <v>45395</v>
      </c>
      <c r="E170" t="s">
        <v>13</v>
      </c>
      <c r="F170">
        <v>16</v>
      </c>
      <c r="G170" t="str">
        <f>VLOOKUP(Table28[[#This Row],[SKU]],Supplier_Products[[#All],[Supplier]:[SKU]],3,FALSE)</f>
        <v>TabletMakers</v>
      </c>
      <c r="H170" t="str" cm="1">
        <f t="array" ref="H170">_xlfn.XLOOKUP(Table28[[#This Row],[SKU]],Supplier_Products[[#All],[SKU]],Supplier_Products[[#All],[Supplier]])</f>
        <v>TabletMakers</v>
      </c>
    </row>
    <row r="171" spans="1:8" x14ac:dyDescent="0.3">
      <c r="A171">
        <v>1170</v>
      </c>
      <c r="B171">
        <v>632</v>
      </c>
      <c r="C171" t="s">
        <v>73</v>
      </c>
      <c r="D171" s="5">
        <v>45557</v>
      </c>
      <c r="E171" t="s">
        <v>186</v>
      </c>
      <c r="F171">
        <v>17</v>
      </c>
      <c r="G171" t="str">
        <f>VLOOKUP(Table28[[#This Row],[SKU]],Supplier_Products[[#All],[Supplier]:[SKU]],3,FALSE)</f>
        <v>ClickTech</v>
      </c>
      <c r="H171" t="str" cm="1">
        <f t="array" ref="H171">_xlfn.XLOOKUP(Table28[[#This Row],[SKU]],Supplier_Products[[#All],[SKU]],Supplier_Products[[#All],[Supplier]])</f>
        <v>ClickTech</v>
      </c>
    </row>
    <row r="172" spans="1:8" x14ac:dyDescent="0.3">
      <c r="A172">
        <v>1171</v>
      </c>
      <c r="B172">
        <v>553</v>
      </c>
      <c r="C172" t="s">
        <v>158</v>
      </c>
      <c r="D172" s="5">
        <v>45571</v>
      </c>
      <c r="E172" t="s">
        <v>186</v>
      </c>
      <c r="F172">
        <v>20</v>
      </c>
      <c r="G172" t="str">
        <f>VLOOKUP(Table28[[#This Row],[SKU]],Supplier_Products[[#All],[Supplier]:[SKU]],3,FALSE)</f>
        <v>ClickTech</v>
      </c>
      <c r="H172" t="str" cm="1">
        <f t="array" ref="H172">_xlfn.XLOOKUP(Table28[[#This Row],[SKU]],Supplier_Products[[#All],[SKU]],Supplier_Products[[#All],[Supplier]])</f>
        <v>ClickTech</v>
      </c>
    </row>
    <row r="173" spans="1:8" x14ac:dyDescent="0.3">
      <c r="A173">
        <v>1172</v>
      </c>
      <c r="B173">
        <v>575</v>
      </c>
      <c r="C173" t="s">
        <v>156</v>
      </c>
      <c r="D173" s="5">
        <v>45387</v>
      </c>
      <c r="E173" t="s">
        <v>186</v>
      </c>
      <c r="F173">
        <v>19</v>
      </c>
      <c r="G173" t="str">
        <f>VLOOKUP(Table28[[#This Row],[SKU]],Supplier_Products[[#All],[Supplier]:[SKU]],3,FALSE)</f>
        <v>ClickTech</v>
      </c>
      <c r="H173" t="str" cm="1">
        <f t="array" ref="H173">_xlfn.XLOOKUP(Table28[[#This Row],[SKU]],Supplier_Products[[#All],[SKU]],Supplier_Products[[#All],[Supplier]])</f>
        <v>ClickTech</v>
      </c>
    </row>
    <row r="174" spans="1:8" x14ac:dyDescent="0.3">
      <c r="A174">
        <v>1173</v>
      </c>
      <c r="B174">
        <v>514</v>
      </c>
      <c r="C174" t="s">
        <v>142</v>
      </c>
      <c r="D174" s="5">
        <v>45312</v>
      </c>
      <c r="E174" t="s">
        <v>186</v>
      </c>
      <c r="F174">
        <v>6</v>
      </c>
      <c r="G174" t="str">
        <f>VLOOKUP(Table28[[#This Row],[SKU]],Supplier_Products[[#All],[Supplier]:[SKU]],3,FALSE)</f>
        <v>GPUForce</v>
      </c>
      <c r="H174" t="str" cm="1">
        <f t="array" ref="H174">_xlfn.XLOOKUP(Table28[[#This Row],[SKU]],Supplier_Products[[#All],[SKU]],Supplier_Products[[#All],[Supplier]])</f>
        <v>GPUForce</v>
      </c>
    </row>
    <row r="175" spans="1:8" x14ac:dyDescent="0.3">
      <c r="A175">
        <v>1174</v>
      </c>
      <c r="B175">
        <v>622</v>
      </c>
      <c r="C175" t="s">
        <v>173</v>
      </c>
      <c r="D175" s="5">
        <v>45602</v>
      </c>
      <c r="E175" t="s">
        <v>14</v>
      </c>
      <c r="F175">
        <v>19</v>
      </c>
      <c r="G175" t="str">
        <f>VLOOKUP(Table28[[#This Row],[SKU]],Supplier_Products[[#All],[Supplier]:[SKU]],3,FALSE)</f>
        <v>SafeTech</v>
      </c>
      <c r="H175" t="str" cm="1">
        <f t="array" ref="H175">_xlfn.XLOOKUP(Table28[[#This Row],[SKU]],Supplier_Products[[#All],[SKU]],Supplier_Products[[#All],[Supplier]])</f>
        <v>SafeTech</v>
      </c>
    </row>
    <row r="176" spans="1:8" x14ac:dyDescent="0.3">
      <c r="A176">
        <v>1175</v>
      </c>
      <c r="B176">
        <v>575</v>
      </c>
      <c r="C176" t="s">
        <v>150</v>
      </c>
      <c r="D176" s="5">
        <v>45573</v>
      </c>
      <c r="E176" t="s">
        <v>187</v>
      </c>
      <c r="F176">
        <v>14</v>
      </c>
      <c r="G176" t="str">
        <f>VLOOKUP(Table28[[#This Row],[SKU]],Supplier_Products[[#All],[Supplier]:[SKU]],3,FALSE)</f>
        <v>ShutterPro</v>
      </c>
      <c r="H176" t="str" cm="1">
        <f t="array" ref="H176">_xlfn.XLOOKUP(Table28[[#This Row],[SKU]],Supplier_Products[[#All],[SKU]],Supplier_Products[[#All],[Supplier]])</f>
        <v>ShutterPro</v>
      </c>
    </row>
    <row r="177" spans="1:8" x14ac:dyDescent="0.3">
      <c r="A177">
        <v>1176</v>
      </c>
      <c r="B177">
        <v>587</v>
      </c>
      <c r="C177" t="s">
        <v>126</v>
      </c>
      <c r="D177" s="5">
        <v>45309</v>
      </c>
      <c r="E177" t="s">
        <v>191</v>
      </c>
      <c r="F177">
        <v>17</v>
      </c>
      <c r="G177" t="str">
        <f>VLOOKUP(Table28[[#This Row],[SKU]],Supplier_Products[[#All],[Supplier]:[SKU]],3,FALSE)</f>
        <v>FitTech</v>
      </c>
      <c r="H177" t="str" cm="1">
        <f t="array" ref="H177">_xlfn.XLOOKUP(Table28[[#This Row],[SKU]],Supplier_Products[[#All],[SKU]],Supplier_Products[[#All],[Supplier]])</f>
        <v>FitTech</v>
      </c>
    </row>
    <row r="178" spans="1:8" x14ac:dyDescent="0.3">
      <c r="A178">
        <v>1177</v>
      </c>
      <c r="B178">
        <v>551</v>
      </c>
      <c r="C178" t="s">
        <v>137</v>
      </c>
      <c r="D178" s="5">
        <v>45501</v>
      </c>
      <c r="E178" t="s">
        <v>188</v>
      </c>
      <c r="F178">
        <v>11</v>
      </c>
      <c r="G178" t="str">
        <f>VLOOKUP(Table28[[#This Row],[SKU]],Supplier_Products[[#All],[Supplier]:[SKU]],3,FALSE)</f>
        <v>CleanBot</v>
      </c>
      <c r="H178" t="str" cm="1">
        <f t="array" ref="H178">_xlfn.XLOOKUP(Table28[[#This Row],[SKU]],Supplier_Products[[#All],[SKU]],Supplier_Products[[#All],[Supplier]])</f>
        <v>CleanBot</v>
      </c>
    </row>
    <row r="179" spans="1:8" x14ac:dyDescent="0.3">
      <c r="A179">
        <v>1178</v>
      </c>
      <c r="B179">
        <v>529</v>
      </c>
      <c r="C179" t="s">
        <v>73</v>
      </c>
      <c r="D179" s="5">
        <v>45316</v>
      </c>
      <c r="E179" t="s">
        <v>186</v>
      </c>
      <c r="F179">
        <v>3</v>
      </c>
      <c r="G179" t="str">
        <f>VLOOKUP(Table28[[#This Row],[SKU]],Supplier_Products[[#All],[Supplier]:[SKU]],3,FALSE)</f>
        <v>ClickTech</v>
      </c>
      <c r="H179" t="str" cm="1">
        <f t="array" ref="H179">_xlfn.XLOOKUP(Table28[[#This Row],[SKU]],Supplier_Products[[#All],[SKU]],Supplier_Products[[#All],[Supplier]])</f>
        <v>ClickTech</v>
      </c>
    </row>
    <row r="180" spans="1:8" x14ac:dyDescent="0.3">
      <c r="A180">
        <v>1179</v>
      </c>
      <c r="B180">
        <v>521</v>
      </c>
      <c r="C180" t="s">
        <v>173</v>
      </c>
      <c r="D180" s="5">
        <v>45594</v>
      </c>
      <c r="E180" t="s">
        <v>14</v>
      </c>
      <c r="F180">
        <v>17</v>
      </c>
      <c r="G180" t="str">
        <f>VLOOKUP(Table28[[#This Row],[SKU]],Supplier_Products[[#All],[Supplier]:[SKU]],3,FALSE)</f>
        <v>SafeTech</v>
      </c>
      <c r="H180" t="str" cm="1">
        <f t="array" ref="H180">_xlfn.XLOOKUP(Table28[[#This Row],[SKU]],Supplier_Products[[#All],[SKU]],Supplier_Products[[#All],[Supplier]])</f>
        <v>SafeTech</v>
      </c>
    </row>
    <row r="181" spans="1:8" x14ac:dyDescent="0.3">
      <c r="A181">
        <v>1180</v>
      </c>
      <c r="B181">
        <v>663</v>
      </c>
      <c r="C181" t="s">
        <v>123</v>
      </c>
      <c r="D181" s="5">
        <v>45628</v>
      </c>
      <c r="E181" t="s">
        <v>189</v>
      </c>
      <c r="F181">
        <v>7</v>
      </c>
      <c r="G181" t="str">
        <f>VLOOKUP(Table28[[#This Row],[SKU]],Supplier_Products[[#All],[Supplier]:[SKU]],3,FALSE)</f>
        <v>VRWorld</v>
      </c>
      <c r="H181" t="str" cm="1">
        <f t="array" ref="H181">_xlfn.XLOOKUP(Table28[[#This Row],[SKU]],Supplier_Products[[#All],[SKU]],Supplier_Products[[#All],[Supplier]])</f>
        <v>VRWorld</v>
      </c>
    </row>
    <row r="182" spans="1:8" x14ac:dyDescent="0.3">
      <c r="A182">
        <v>1181</v>
      </c>
      <c r="B182">
        <v>635</v>
      </c>
      <c r="C182" t="s">
        <v>7</v>
      </c>
      <c r="D182" s="5">
        <v>45526</v>
      </c>
      <c r="E182" t="s">
        <v>13</v>
      </c>
      <c r="F182">
        <v>5</v>
      </c>
      <c r="G182" t="str">
        <f>VLOOKUP(Table28[[#This Row],[SKU]],Supplier_Products[[#All],[Supplier]:[SKU]],3,FALSE)</f>
        <v>SoundCo</v>
      </c>
      <c r="H182" t="str" cm="1">
        <f t="array" ref="H182">_xlfn.XLOOKUP(Table28[[#This Row],[SKU]],Supplier_Products[[#All],[SKU]],Supplier_Products[[#All],[Supplier]])</f>
        <v>SoundCo</v>
      </c>
    </row>
    <row r="183" spans="1:8" x14ac:dyDescent="0.3">
      <c r="A183">
        <v>1182</v>
      </c>
      <c r="B183">
        <v>528</v>
      </c>
      <c r="C183" t="s">
        <v>166</v>
      </c>
      <c r="D183" s="5">
        <v>45637</v>
      </c>
      <c r="E183" t="s">
        <v>191</v>
      </c>
      <c r="F183">
        <v>9</v>
      </c>
      <c r="G183" t="str">
        <f>VLOOKUP(Table28[[#This Row],[SKU]],Supplier_Products[[#All],[Supplier]:[SKU]],3,FALSE)</f>
        <v>BookTech</v>
      </c>
      <c r="H183" t="str" cm="1">
        <f t="array" ref="H183">_xlfn.XLOOKUP(Table28[[#This Row],[SKU]],Supplier_Products[[#All],[SKU]],Supplier_Products[[#All],[Supplier]])</f>
        <v>BookTech</v>
      </c>
    </row>
    <row r="184" spans="1:8" x14ac:dyDescent="0.3">
      <c r="A184">
        <v>1183</v>
      </c>
      <c r="B184">
        <v>507</v>
      </c>
      <c r="C184" t="s">
        <v>145</v>
      </c>
      <c r="D184" s="5">
        <v>45435</v>
      </c>
      <c r="E184" t="s">
        <v>190</v>
      </c>
      <c r="F184">
        <v>15</v>
      </c>
      <c r="G184" t="str">
        <f>VLOOKUP(Table28[[#This Row],[SKU]],Supplier_Products[[#All],[Supplier]:[SKU]],3,FALSE)</f>
        <v>BrightHome</v>
      </c>
      <c r="H184" t="str" cm="1">
        <f t="array" ref="H184">_xlfn.XLOOKUP(Table28[[#This Row],[SKU]],Supplier_Products[[#All],[SKU]],Supplier_Products[[#All],[Supplier]])</f>
        <v>BrightHome</v>
      </c>
    </row>
    <row r="185" spans="1:8" x14ac:dyDescent="0.3">
      <c r="A185">
        <v>1184</v>
      </c>
      <c r="B185">
        <v>698</v>
      </c>
      <c r="C185" t="s">
        <v>123</v>
      </c>
      <c r="D185" s="5">
        <v>45553</v>
      </c>
      <c r="E185" t="s">
        <v>189</v>
      </c>
      <c r="F185">
        <v>5</v>
      </c>
      <c r="G185" t="str">
        <f>VLOOKUP(Table28[[#This Row],[SKU]],Supplier_Products[[#All],[Supplier]:[SKU]],3,FALSE)</f>
        <v>VRWorld</v>
      </c>
      <c r="H185" t="str" cm="1">
        <f t="array" ref="H185">_xlfn.XLOOKUP(Table28[[#This Row],[SKU]],Supplier_Products[[#All],[SKU]],Supplier_Products[[#All],[Supplier]])</f>
        <v>VRWorld</v>
      </c>
    </row>
    <row r="186" spans="1:8" x14ac:dyDescent="0.3">
      <c r="A186">
        <v>1185</v>
      </c>
      <c r="B186">
        <v>736</v>
      </c>
      <c r="C186" t="s">
        <v>10</v>
      </c>
      <c r="D186" s="5">
        <v>45316</v>
      </c>
      <c r="E186" t="s">
        <v>13</v>
      </c>
      <c r="F186">
        <v>4</v>
      </c>
      <c r="G186" t="str">
        <f>VLOOKUP(Table28[[#This Row],[SKU]],Supplier_Products[[#All],[Supplier]:[SKU]],3,FALSE)</f>
        <v>TabletMakers</v>
      </c>
      <c r="H186" t="str" cm="1">
        <f t="array" ref="H186">_xlfn.XLOOKUP(Table28[[#This Row],[SKU]],Supplier_Products[[#All],[SKU]],Supplier_Products[[#All],[Supplier]])</f>
        <v>TabletMakers</v>
      </c>
    </row>
    <row r="187" spans="1:8" x14ac:dyDescent="0.3">
      <c r="A187">
        <v>1186</v>
      </c>
      <c r="B187">
        <v>501</v>
      </c>
      <c r="C187" t="s">
        <v>9</v>
      </c>
      <c r="D187" s="5">
        <v>45549</v>
      </c>
      <c r="E187" t="s">
        <v>14</v>
      </c>
      <c r="F187">
        <v>8</v>
      </c>
      <c r="G187" t="str">
        <f>VLOOKUP(Table28[[#This Row],[SKU]],Supplier_Products[[#All],[Supplier]:[SKU]],3,FALSE)</f>
        <v>CompuTech</v>
      </c>
      <c r="H187" t="str" cm="1">
        <f t="array" ref="H187">_xlfn.XLOOKUP(Table28[[#This Row],[SKU]],Supplier_Products[[#All],[SKU]],Supplier_Products[[#All],[Supplier]])</f>
        <v>CompuTech</v>
      </c>
    </row>
    <row r="188" spans="1:8" x14ac:dyDescent="0.3">
      <c r="A188">
        <v>1187</v>
      </c>
      <c r="B188">
        <v>623</v>
      </c>
      <c r="C188" t="s">
        <v>142</v>
      </c>
      <c r="D188" s="5">
        <v>45426</v>
      </c>
      <c r="E188" t="s">
        <v>186</v>
      </c>
      <c r="F188">
        <v>3</v>
      </c>
      <c r="G188" t="str">
        <f>VLOOKUP(Table28[[#This Row],[SKU]],Supplier_Products[[#All],[Supplier]:[SKU]],3,FALSE)</f>
        <v>GPUForce</v>
      </c>
      <c r="H188" t="str" cm="1">
        <f t="array" ref="H188">_xlfn.XLOOKUP(Table28[[#This Row],[SKU]],Supplier_Products[[#All],[SKU]],Supplier_Products[[#All],[Supplier]])</f>
        <v>GPUForce</v>
      </c>
    </row>
    <row r="189" spans="1:8" x14ac:dyDescent="0.3">
      <c r="A189">
        <v>1188</v>
      </c>
      <c r="B189">
        <v>649</v>
      </c>
      <c r="C189" t="s">
        <v>121</v>
      </c>
      <c r="D189" s="5">
        <v>45578</v>
      </c>
      <c r="E189" t="s">
        <v>186</v>
      </c>
      <c r="F189">
        <v>20</v>
      </c>
      <c r="G189" t="str">
        <f>VLOOKUP(Table28[[#This Row],[SKU]],Supplier_Products[[#All],[Supplier]:[SKU]],3,FALSE)</f>
        <v>ClickTech</v>
      </c>
      <c r="H189" t="str" cm="1">
        <f t="array" ref="H189">_xlfn.XLOOKUP(Table28[[#This Row],[SKU]],Supplier_Products[[#All],[SKU]],Supplier_Products[[#All],[Supplier]])</f>
        <v>ClickTech</v>
      </c>
    </row>
    <row r="190" spans="1:8" x14ac:dyDescent="0.3">
      <c r="A190">
        <v>1189</v>
      </c>
      <c r="B190">
        <v>597</v>
      </c>
      <c r="C190" t="s">
        <v>169</v>
      </c>
      <c r="D190" s="5">
        <v>45635</v>
      </c>
      <c r="E190" t="s">
        <v>14</v>
      </c>
      <c r="F190">
        <v>5</v>
      </c>
      <c r="G190" t="str">
        <f>VLOOKUP(Table28[[#This Row],[SKU]],Supplier_Products[[#All],[Supplier]:[SKU]],3,FALSE)</f>
        <v>SafeDrive</v>
      </c>
      <c r="H190" t="str" cm="1">
        <f t="array" ref="H190">_xlfn.XLOOKUP(Table28[[#This Row],[SKU]],Supplier_Products[[#All],[SKU]],Supplier_Products[[#All],[Supplier]])</f>
        <v>SafeDrive</v>
      </c>
    </row>
    <row r="191" spans="1:8" x14ac:dyDescent="0.3">
      <c r="A191">
        <v>1190</v>
      </c>
      <c r="B191">
        <v>563</v>
      </c>
      <c r="C191" t="s">
        <v>162</v>
      </c>
      <c r="D191" s="5">
        <v>45330</v>
      </c>
      <c r="E191" t="s">
        <v>189</v>
      </c>
      <c r="F191">
        <v>10</v>
      </c>
      <c r="G191" t="str">
        <f>VLOOKUP(Table28[[#This Row],[SKU]],Supplier_Products[[#All],[Supplier]:[SKU]],3,FALSE)</f>
        <v>AeroTech</v>
      </c>
      <c r="H191" t="str" cm="1">
        <f t="array" ref="H191">_xlfn.XLOOKUP(Table28[[#This Row],[SKU]],Supplier_Products[[#All],[SKU]],Supplier_Products[[#All],[Supplier]])</f>
        <v>AeroTech</v>
      </c>
    </row>
    <row r="192" spans="1:8" x14ac:dyDescent="0.3">
      <c r="A192">
        <v>1191</v>
      </c>
      <c r="B192">
        <v>721</v>
      </c>
      <c r="C192" t="s">
        <v>126</v>
      </c>
      <c r="D192" s="5">
        <v>45401</v>
      </c>
      <c r="E192" t="s">
        <v>191</v>
      </c>
      <c r="F192">
        <v>18</v>
      </c>
      <c r="G192" t="str">
        <f>VLOOKUP(Table28[[#This Row],[SKU]],Supplier_Products[[#All],[Supplier]:[SKU]],3,FALSE)</f>
        <v>FitTech</v>
      </c>
      <c r="H192" t="str" cm="1">
        <f t="array" ref="H192">_xlfn.XLOOKUP(Table28[[#This Row],[SKU]],Supplier_Products[[#All],[SKU]],Supplier_Products[[#All],[Supplier]])</f>
        <v>FitTech</v>
      </c>
    </row>
    <row r="193" spans="1:8" x14ac:dyDescent="0.3">
      <c r="A193">
        <v>1192</v>
      </c>
      <c r="B193">
        <v>551</v>
      </c>
      <c r="C193" t="s">
        <v>142</v>
      </c>
      <c r="D193" s="5">
        <v>45423</v>
      </c>
      <c r="E193" t="s">
        <v>186</v>
      </c>
      <c r="F193">
        <v>12</v>
      </c>
      <c r="G193" t="str">
        <f>VLOOKUP(Table28[[#This Row],[SKU]],Supplier_Products[[#All],[Supplier]:[SKU]],3,FALSE)</f>
        <v>GPUForce</v>
      </c>
      <c r="H193" t="str" cm="1">
        <f t="array" ref="H193">_xlfn.XLOOKUP(Table28[[#This Row],[SKU]],Supplier_Products[[#All],[SKU]],Supplier_Products[[#All],[Supplier]])</f>
        <v>GPUForce</v>
      </c>
    </row>
    <row r="194" spans="1:8" x14ac:dyDescent="0.3">
      <c r="A194">
        <v>1193</v>
      </c>
      <c r="B194">
        <v>581</v>
      </c>
      <c r="C194" t="s">
        <v>154</v>
      </c>
      <c r="D194" s="5">
        <v>45387</v>
      </c>
      <c r="E194" t="s">
        <v>187</v>
      </c>
      <c r="F194">
        <v>6</v>
      </c>
      <c r="G194" t="str">
        <f>VLOOKUP(Table28[[#This Row],[SKU]],Supplier_Products[[#All],[Supplier]:[SKU]],3,FALSE)</f>
        <v>ShutterPro</v>
      </c>
      <c r="H194" t="str" cm="1">
        <f t="array" ref="H194">_xlfn.XLOOKUP(Table28[[#This Row],[SKU]],Supplier_Products[[#All],[SKU]],Supplier_Products[[#All],[Supplier]])</f>
        <v>ShutterPro</v>
      </c>
    </row>
    <row r="195" spans="1:8" x14ac:dyDescent="0.3">
      <c r="A195">
        <v>1194</v>
      </c>
      <c r="B195">
        <v>645</v>
      </c>
      <c r="C195" t="s">
        <v>137</v>
      </c>
      <c r="D195" s="5">
        <v>45528</v>
      </c>
      <c r="E195" t="s">
        <v>188</v>
      </c>
      <c r="F195">
        <v>9</v>
      </c>
      <c r="G195" t="str">
        <f>VLOOKUP(Table28[[#This Row],[SKU]],Supplier_Products[[#All],[Supplier]:[SKU]],3,FALSE)</f>
        <v>CleanBot</v>
      </c>
      <c r="H195" t="str" cm="1">
        <f t="array" ref="H195">_xlfn.XLOOKUP(Table28[[#This Row],[SKU]],Supplier_Products[[#All],[SKU]],Supplier_Products[[#All],[Supplier]])</f>
        <v>CleanBot</v>
      </c>
    </row>
    <row r="196" spans="1:8" x14ac:dyDescent="0.3">
      <c r="A196">
        <v>1195</v>
      </c>
      <c r="B196">
        <v>545</v>
      </c>
      <c r="C196" t="s">
        <v>114</v>
      </c>
      <c r="D196" s="5">
        <v>45365</v>
      </c>
      <c r="E196" t="s">
        <v>189</v>
      </c>
      <c r="F196">
        <v>18</v>
      </c>
      <c r="G196" t="str">
        <f>VLOOKUP(Table28[[#This Row],[SKU]],Supplier_Products[[#All],[Supplier]:[SKU]],3,FALSE)</f>
        <v>VisionTech</v>
      </c>
      <c r="H196" t="str" cm="1">
        <f t="array" ref="H196">_xlfn.XLOOKUP(Table28[[#This Row],[SKU]],Supplier_Products[[#All],[SKU]],Supplier_Products[[#All],[Supplier]])</f>
        <v>VisionTech</v>
      </c>
    </row>
    <row r="197" spans="1:8" x14ac:dyDescent="0.3">
      <c r="A197">
        <v>1196</v>
      </c>
      <c r="B197">
        <v>603</v>
      </c>
      <c r="C197" t="s">
        <v>150</v>
      </c>
      <c r="D197" s="5">
        <v>45369</v>
      </c>
      <c r="E197" t="s">
        <v>187</v>
      </c>
      <c r="F197">
        <v>15</v>
      </c>
      <c r="G197" t="str">
        <f>VLOOKUP(Table28[[#This Row],[SKU]],Supplier_Products[[#All],[Supplier]:[SKU]],3,FALSE)</f>
        <v>ShutterPro</v>
      </c>
      <c r="H197" t="str" cm="1">
        <f t="array" ref="H197">_xlfn.XLOOKUP(Table28[[#This Row],[SKU]],Supplier_Products[[#All],[SKU]],Supplier_Products[[#All],[Supplier]])</f>
        <v>ShutterPro</v>
      </c>
    </row>
    <row r="198" spans="1:8" x14ac:dyDescent="0.3">
      <c r="A198">
        <v>1197</v>
      </c>
      <c r="B198">
        <v>720</v>
      </c>
      <c r="C198" t="s">
        <v>114</v>
      </c>
      <c r="D198" s="5">
        <v>45416</v>
      </c>
      <c r="E198" t="s">
        <v>189</v>
      </c>
      <c r="F198">
        <v>19</v>
      </c>
      <c r="G198" t="str">
        <f>VLOOKUP(Table28[[#This Row],[SKU]],Supplier_Products[[#All],[Supplier]:[SKU]],3,FALSE)</f>
        <v>VisionTech</v>
      </c>
      <c r="H198" t="str" cm="1">
        <f t="array" ref="H198">_xlfn.XLOOKUP(Table28[[#This Row],[SKU]],Supplier_Products[[#All],[SKU]],Supplier_Products[[#All],[Supplier]])</f>
        <v>VisionTech</v>
      </c>
    </row>
    <row r="199" spans="1:8" x14ac:dyDescent="0.3">
      <c r="A199">
        <v>1198</v>
      </c>
      <c r="B199">
        <v>747</v>
      </c>
      <c r="C199" t="s">
        <v>160</v>
      </c>
      <c r="D199" s="5">
        <v>45368</v>
      </c>
      <c r="E199" t="s">
        <v>13</v>
      </c>
      <c r="F199">
        <v>3</v>
      </c>
      <c r="G199" t="str">
        <f>VLOOKUP(Table28[[#This Row],[SKU]],Supplier_Products[[#All],[Supplier]:[SKU]],3,FALSE)</f>
        <v>SoundCo</v>
      </c>
      <c r="H199" t="str" cm="1">
        <f t="array" ref="H199">_xlfn.XLOOKUP(Table28[[#This Row],[SKU]],Supplier_Products[[#All],[SKU]],Supplier_Products[[#All],[Supplier]])</f>
        <v>SoundCo</v>
      </c>
    </row>
    <row r="200" spans="1:8" x14ac:dyDescent="0.3">
      <c r="A200">
        <v>1199</v>
      </c>
      <c r="B200">
        <v>567</v>
      </c>
      <c r="C200" t="s">
        <v>126</v>
      </c>
      <c r="D200" s="5">
        <v>45430</v>
      </c>
      <c r="E200" t="s">
        <v>191</v>
      </c>
      <c r="F200">
        <v>18</v>
      </c>
      <c r="G200" t="str">
        <f>VLOOKUP(Table28[[#This Row],[SKU]],Supplier_Products[[#All],[Supplier]:[SKU]],3,FALSE)</f>
        <v>FitTech</v>
      </c>
      <c r="H200" t="str" cm="1">
        <f t="array" ref="H200">_xlfn.XLOOKUP(Table28[[#This Row],[SKU]],Supplier_Products[[#All],[SKU]],Supplier_Products[[#All],[Supplier]])</f>
        <v>FitTech</v>
      </c>
    </row>
    <row r="201" spans="1:8" x14ac:dyDescent="0.3">
      <c r="A201">
        <v>1200</v>
      </c>
      <c r="B201">
        <v>579</v>
      </c>
      <c r="C201" t="s">
        <v>156</v>
      </c>
      <c r="D201" s="5">
        <v>45650</v>
      </c>
      <c r="E201" t="s">
        <v>186</v>
      </c>
      <c r="F201">
        <v>15</v>
      </c>
      <c r="G201" t="str">
        <f>VLOOKUP(Table28[[#This Row],[SKU]],Supplier_Products[[#All],[Supplier]:[SKU]],3,FALSE)</f>
        <v>ClickTech</v>
      </c>
      <c r="H201" t="str" cm="1">
        <f t="array" ref="H201">_xlfn.XLOOKUP(Table28[[#This Row],[SKU]],Supplier_Products[[#All],[SKU]],Supplier_Products[[#All],[Supplier]])</f>
        <v>ClickTech</v>
      </c>
    </row>
    <row r="202" spans="1:8" x14ac:dyDescent="0.3">
      <c r="A202">
        <v>1201</v>
      </c>
      <c r="B202">
        <v>591</v>
      </c>
      <c r="C202" t="s">
        <v>73</v>
      </c>
      <c r="D202" s="5">
        <v>45644</v>
      </c>
      <c r="E202" t="s">
        <v>186</v>
      </c>
      <c r="F202">
        <v>10</v>
      </c>
      <c r="G202" t="str">
        <f>VLOOKUP(Table28[[#This Row],[SKU]],Supplier_Products[[#All],[Supplier]:[SKU]],3,FALSE)</f>
        <v>ClickTech</v>
      </c>
      <c r="H202" t="str" cm="1">
        <f t="array" ref="H202">_xlfn.XLOOKUP(Table28[[#This Row],[SKU]],Supplier_Products[[#All],[SKU]],Supplier_Products[[#All],[Supplier]])</f>
        <v>ClickTech</v>
      </c>
    </row>
    <row r="203" spans="1:8" x14ac:dyDescent="0.3">
      <c r="A203">
        <v>1202</v>
      </c>
      <c r="B203">
        <v>610</v>
      </c>
      <c r="C203" t="s">
        <v>145</v>
      </c>
      <c r="D203" s="5">
        <v>45530</v>
      </c>
      <c r="E203" t="s">
        <v>190</v>
      </c>
      <c r="F203">
        <v>16</v>
      </c>
      <c r="G203" t="str">
        <f>VLOOKUP(Table28[[#This Row],[SKU]],Supplier_Products[[#All],[Supplier]:[SKU]],3,FALSE)</f>
        <v>BrightHome</v>
      </c>
      <c r="H203" t="str" cm="1">
        <f t="array" ref="H203">_xlfn.XLOOKUP(Table28[[#This Row],[SKU]],Supplier_Products[[#All],[SKU]],Supplier_Products[[#All],[Supplier]])</f>
        <v>BrightHome</v>
      </c>
    </row>
    <row r="204" spans="1:8" x14ac:dyDescent="0.3">
      <c r="A204">
        <v>1203</v>
      </c>
      <c r="B204">
        <v>659</v>
      </c>
      <c r="C204" t="s">
        <v>137</v>
      </c>
      <c r="D204" s="5">
        <v>45325</v>
      </c>
      <c r="E204" t="s">
        <v>188</v>
      </c>
      <c r="F204">
        <v>11</v>
      </c>
      <c r="G204" t="str">
        <f>VLOOKUP(Table28[[#This Row],[SKU]],Supplier_Products[[#All],[Supplier]:[SKU]],3,FALSE)</f>
        <v>CleanBot</v>
      </c>
      <c r="H204" t="str" cm="1">
        <f t="array" ref="H204">_xlfn.XLOOKUP(Table28[[#This Row],[SKU]],Supplier_Products[[#All],[SKU]],Supplier_Products[[#All],[Supplier]])</f>
        <v>CleanBot</v>
      </c>
    </row>
    <row r="205" spans="1:8" x14ac:dyDescent="0.3">
      <c r="A205">
        <v>1204</v>
      </c>
      <c r="B205">
        <v>536</v>
      </c>
      <c r="C205" t="s">
        <v>117</v>
      </c>
      <c r="D205" s="5">
        <v>45601</v>
      </c>
      <c r="E205" t="s">
        <v>190</v>
      </c>
      <c r="F205">
        <v>8</v>
      </c>
      <c r="G205" t="str">
        <f>VLOOKUP(Table28[[#This Row],[SKU]],Supplier_Products[[#All],[Supplier]:[SKU]],3,FALSE)</f>
        <v>DataSafe</v>
      </c>
      <c r="H205" t="str" cm="1">
        <f t="array" ref="H205">_xlfn.XLOOKUP(Table28[[#This Row],[SKU]],Supplier_Products[[#All],[SKU]],Supplier_Products[[#All],[Supplier]])</f>
        <v>DataSafe</v>
      </c>
    </row>
    <row r="206" spans="1:8" x14ac:dyDescent="0.3">
      <c r="A206">
        <v>1205</v>
      </c>
      <c r="B206">
        <v>728</v>
      </c>
      <c r="C206" t="s">
        <v>117</v>
      </c>
      <c r="D206" s="5">
        <v>45638</v>
      </c>
      <c r="E206" t="s">
        <v>190</v>
      </c>
      <c r="F206">
        <v>1</v>
      </c>
      <c r="G206" t="str">
        <f>VLOOKUP(Table28[[#This Row],[SKU]],Supplier_Products[[#All],[Supplier]:[SKU]],3,FALSE)</f>
        <v>DataSafe</v>
      </c>
      <c r="H206" t="str" cm="1">
        <f t="array" ref="H206">_xlfn.XLOOKUP(Table28[[#This Row],[SKU]],Supplier_Products[[#All],[SKU]],Supplier_Products[[#All],[Supplier]])</f>
        <v>DataSafe</v>
      </c>
    </row>
    <row r="207" spans="1:8" x14ac:dyDescent="0.3">
      <c r="A207">
        <v>1206</v>
      </c>
      <c r="B207">
        <v>624</v>
      </c>
      <c r="C207" t="s">
        <v>133</v>
      </c>
      <c r="D207" s="5">
        <v>45593</v>
      </c>
      <c r="E207" t="s">
        <v>14</v>
      </c>
      <c r="F207">
        <v>5</v>
      </c>
      <c r="G207" t="str">
        <f>VLOOKUP(Table28[[#This Row],[SKU]],Supplier_Products[[#All],[Supplier]:[SKU]],3,FALSE)</f>
        <v>SafeTech</v>
      </c>
      <c r="H207" t="str" cm="1">
        <f t="array" ref="H207">_xlfn.XLOOKUP(Table28[[#This Row],[SKU]],Supplier_Products[[#All],[SKU]],Supplier_Products[[#All],[Supplier]])</f>
        <v>SafeTech</v>
      </c>
    </row>
    <row r="208" spans="1:8" x14ac:dyDescent="0.3">
      <c r="A208">
        <v>1207</v>
      </c>
      <c r="B208">
        <v>724</v>
      </c>
      <c r="C208" t="s">
        <v>169</v>
      </c>
      <c r="D208" s="5">
        <v>45333</v>
      </c>
      <c r="E208" t="s">
        <v>14</v>
      </c>
      <c r="F208">
        <v>7</v>
      </c>
      <c r="G208" t="str">
        <f>VLOOKUP(Table28[[#This Row],[SKU]],Supplier_Products[[#All],[Supplier]:[SKU]],3,FALSE)</f>
        <v>SafeDrive</v>
      </c>
      <c r="H208" t="str" cm="1">
        <f t="array" ref="H208">_xlfn.XLOOKUP(Table28[[#This Row],[SKU]],Supplier_Products[[#All],[SKU]],Supplier_Products[[#All],[Supplier]])</f>
        <v>SafeDrive</v>
      </c>
    </row>
    <row r="209" spans="1:8" x14ac:dyDescent="0.3">
      <c r="A209">
        <v>1208</v>
      </c>
      <c r="B209">
        <v>649</v>
      </c>
      <c r="C209" t="s">
        <v>72</v>
      </c>
      <c r="D209" s="5">
        <v>45371</v>
      </c>
      <c r="E209" t="s">
        <v>187</v>
      </c>
      <c r="F209">
        <v>3</v>
      </c>
      <c r="G209" t="str">
        <f>VLOOKUP(Table28[[#This Row],[SKU]],Supplier_Products[[#All],[Supplier]:[SKU]],3,FALSE)</f>
        <v>SoundWave</v>
      </c>
      <c r="H209" t="str" cm="1">
        <f t="array" ref="H209">_xlfn.XLOOKUP(Table28[[#This Row],[SKU]],Supplier_Products[[#All],[SKU]],Supplier_Products[[#All],[Supplier]])</f>
        <v>SoundWave</v>
      </c>
    </row>
    <row r="210" spans="1:8" x14ac:dyDescent="0.3">
      <c r="A210">
        <v>1209</v>
      </c>
      <c r="B210">
        <v>654</v>
      </c>
      <c r="C210" t="s">
        <v>150</v>
      </c>
      <c r="D210" s="5">
        <v>45521</v>
      </c>
      <c r="E210" t="s">
        <v>187</v>
      </c>
      <c r="F210">
        <v>19</v>
      </c>
      <c r="G210" t="str">
        <f>VLOOKUP(Table28[[#This Row],[SKU]],Supplier_Products[[#All],[Supplier]:[SKU]],3,FALSE)</f>
        <v>ShutterPro</v>
      </c>
      <c r="H210" t="str" cm="1">
        <f t="array" ref="H210">_xlfn.XLOOKUP(Table28[[#This Row],[SKU]],Supplier_Products[[#All],[SKU]],Supplier_Products[[#All],[Supplier]])</f>
        <v>ShutterPro</v>
      </c>
    </row>
    <row r="211" spans="1:8" x14ac:dyDescent="0.3">
      <c r="A211">
        <v>1210</v>
      </c>
      <c r="B211">
        <v>556</v>
      </c>
      <c r="C211" t="s">
        <v>126</v>
      </c>
      <c r="D211" s="5">
        <v>45618</v>
      </c>
      <c r="E211" t="s">
        <v>191</v>
      </c>
      <c r="F211">
        <v>17</v>
      </c>
      <c r="G211" t="str">
        <f>VLOOKUP(Table28[[#This Row],[SKU]],Supplier_Products[[#All],[Supplier]:[SKU]],3,FALSE)</f>
        <v>FitTech</v>
      </c>
      <c r="H211" t="str" cm="1">
        <f t="array" ref="H211">_xlfn.XLOOKUP(Table28[[#This Row],[SKU]],Supplier_Products[[#All],[SKU]],Supplier_Products[[#All],[Supplier]])</f>
        <v>FitTech</v>
      </c>
    </row>
    <row r="212" spans="1:8" x14ac:dyDescent="0.3">
      <c r="A212">
        <v>1211</v>
      </c>
      <c r="B212">
        <v>661</v>
      </c>
      <c r="C212" t="s">
        <v>166</v>
      </c>
      <c r="D212" s="5">
        <v>45309</v>
      </c>
      <c r="E212" t="s">
        <v>191</v>
      </c>
      <c r="F212">
        <v>16</v>
      </c>
      <c r="G212" t="str">
        <f>VLOOKUP(Table28[[#This Row],[SKU]],Supplier_Products[[#All],[Supplier]:[SKU]],3,FALSE)</f>
        <v>BookTech</v>
      </c>
      <c r="H212" t="str" cm="1">
        <f t="array" ref="H212">_xlfn.XLOOKUP(Table28[[#This Row],[SKU]],Supplier_Products[[#All],[SKU]],Supplier_Products[[#All],[Supplier]])</f>
        <v>BookTech</v>
      </c>
    </row>
    <row r="213" spans="1:8" x14ac:dyDescent="0.3">
      <c r="A213">
        <v>1212</v>
      </c>
      <c r="B213">
        <v>599</v>
      </c>
      <c r="C213" t="s">
        <v>11</v>
      </c>
      <c r="D213" s="5">
        <v>45497</v>
      </c>
      <c r="E213" t="s">
        <v>12</v>
      </c>
      <c r="F213">
        <v>7</v>
      </c>
      <c r="G213" t="str">
        <f>VLOOKUP(Table28[[#This Row],[SKU]],Supplier_Products[[#All],[Supplier]:[SKU]],3,FALSE)</f>
        <v>ChargePro</v>
      </c>
      <c r="H213" t="str" cm="1">
        <f t="array" ref="H213">_xlfn.XLOOKUP(Table28[[#This Row],[SKU]],Supplier_Products[[#All],[SKU]],Supplier_Products[[#All],[Supplier]])</f>
        <v>ChargePro</v>
      </c>
    </row>
    <row r="214" spans="1:8" x14ac:dyDescent="0.3">
      <c r="A214">
        <v>1213</v>
      </c>
      <c r="B214">
        <v>698</v>
      </c>
      <c r="C214" t="s">
        <v>123</v>
      </c>
      <c r="D214" s="5">
        <v>45551</v>
      </c>
      <c r="E214" t="s">
        <v>189</v>
      </c>
      <c r="F214">
        <v>8</v>
      </c>
      <c r="G214" t="str">
        <f>VLOOKUP(Table28[[#This Row],[SKU]],Supplier_Products[[#All],[Supplier]:[SKU]],3,FALSE)</f>
        <v>VRWorld</v>
      </c>
      <c r="H214" t="str" cm="1">
        <f t="array" ref="H214">_xlfn.XLOOKUP(Table28[[#This Row],[SKU]],Supplier_Products[[#All],[SKU]],Supplier_Products[[#All],[Supplier]])</f>
        <v>VRWorld</v>
      </c>
    </row>
    <row r="215" spans="1:8" x14ac:dyDescent="0.3">
      <c r="A215">
        <v>1214</v>
      </c>
      <c r="B215">
        <v>545</v>
      </c>
      <c r="C215" t="s">
        <v>110</v>
      </c>
      <c r="D215" s="5">
        <v>45584</v>
      </c>
      <c r="E215" t="s">
        <v>188</v>
      </c>
      <c r="F215">
        <v>18</v>
      </c>
      <c r="G215" t="str">
        <f>VLOOKUP(Table28[[#This Row],[SKU]],Supplier_Products[[#All],[Supplier]:[SKU]],3,FALSE)</f>
        <v>PlayMax</v>
      </c>
      <c r="H215" t="str" cm="1">
        <f t="array" ref="H215">_xlfn.XLOOKUP(Table28[[#This Row],[SKU]],Supplier_Products[[#All],[SKU]],Supplier_Products[[#All],[Supplier]])</f>
        <v>PlayMax</v>
      </c>
    </row>
    <row r="216" spans="1:8" x14ac:dyDescent="0.3">
      <c r="A216">
        <v>1215</v>
      </c>
      <c r="B216">
        <v>719</v>
      </c>
      <c r="C216" t="s">
        <v>117</v>
      </c>
      <c r="D216" s="5">
        <v>45502</v>
      </c>
      <c r="E216" t="s">
        <v>190</v>
      </c>
      <c r="F216">
        <v>10</v>
      </c>
      <c r="G216" t="str">
        <f>VLOOKUP(Table28[[#This Row],[SKU]],Supplier_Products[[#All],[Supplier]:[SKU]],3,FALSE)</f>
        <v>DataSafe</v>
      </c>
      <c r="H216" t="str" cm="1">
        <f t="array" ref="H216">_xlfn.XLOOKUP(Table28[[#This Row],[SKU]],Supplier_Products[[#All],[SKU]],Supplier_Products[[#All],[Supplier]])</f>
        <v>DataSafe</v>
      </c>
    </row>
    <row r="217" spans="1:8" x14ac:dyDescent="0.3">
      <c r="A217">
        <v>1216</v>
      </c>
      <c r="B217">
        <v>597</v>
      </c>
      <c r="C217" t="s">
        <v>72</v>
      </c>
      <c r="D217" s="5">
        <v>45427</v>
      </c>
      <c r="E217" t="s">
        <v>187</v>
      </c>
      <c r="F217">
        <v>7</v>
      </c>
      <c r="G217" t="str">
        <f>VLOOKUP(Table28[[#This Row],[SKU]],Supplier_Products[[#All],[Supplier]:[SKU]],3,FALSE)</f>
        <v>SoundWave</v>
      </c>
      <c r="H217" t="str" cm="1">
        <f t="array" ref="H217">_xlfn.XLOOKUP(Table28[[#This Row],[SKU]],Supplier_Products[[#All],[SKU]],Supplier_Products[[#All],[Supplier]])</f>
        <v>SoundWave</v>
      </c>
    </row>
    <row r="218" spans="1:8" x14ac:dyDescent="0.3">
      <c r="A218">
        <v>1217</v>
      </c>
      <c r="B218">
        <v>600</v>
      </c>
      <c r="C218" t="s">
        <v>150</v>
      </c>
      <c r="D218" s="5">
        <v>45564</v>
      </c>
      <c r="E218" t="s">
        <v>187</v>
      </c>
      <c r="F218">
        <v>6</v>
      </c>
      <c r="G218" t="str">
        <f>VLOOKUP(Table28[[#This Row],[SKU]],Supplier_Products[[#All],[Supplier]:[SKU]],3,FALSE)</f>
        <v>ShutterPro</v>
      </c>
      <c r="H218" t="str" cm="1">
        <f t="array" ref="H218">_xlfn.XLOOKUP(Table28[[#This Row],[SKU]],Supplier_Products[[#All],[SKU]],Supplier_Products[[#All],[Supplier]])</f>
        <v>ShutterPro</v>
      </c>
    </row>
    <row r="219" spans="1:8" x14ac:dyDescent="0.3">
      <c r="A219">
        <v>1218</v>
      </c>
      <c r="B219">
        <v>628</v>
      </c>
      <c r="C219" t="s">
        <v>7</v>
      </c>
      <c r="D219" s="5">
        <v>45373</v>
      </c>
      <c r="E219" t="s">
        <v>13</v>
      </c>
      <c r="F219">
        <v>11</v>
      </c>
      <c r="G219" t="str">
        <f>VLOOKUP(Table28[[#This Row],[SKU]],Supplier_Products[[#All],[Supplier]:[SKU]],3,FALSE)</f>
        <v>SoundCo</v>
      </c>
      <c r="H219" t="str" cm="1">
        <f t="array" ref="H219">_xlfn.XLOOKUP(Table28[[#This Row],[SKU]],Supplier_Products[[#All],[SKU]],Supplier_Products[[#All],[Supplier]])</f>
        <v>SoundCo</v>
      </c>
    </row>
    <row r="220" spans="1:8" x14ac:dyDescent="0.3">
      <c r="A220">
        <v>1219</v>
      </c>
      <c r="B220">
        <v>634</v>
      </c>
      <c r="C220" t="s">
        <v>72</v>
      </c>
      <c r="D220" s="5">
        <v>45596</v>
      </c>
      <c r="E220" t="s">
        <v>187</v>
      </c>
      <c r="F220">
        <v>1</v>
      </c>
      <c r="G220" t="str">
        <f>VLOOKUP(Table28[[#This Row],[SKU]],Supplier_Products[[#All],[Supplier]:[SKU]],3,FALSE)</f>
        <v>SoundWave</v>
      </c>
      <c r="H220" t="str" cm="1">
        <f t="array" ref="H220">_xlfn.XLOOKUP(Table28[[#This Row],[SKU]],Supplier_Products[[#All],[SKU]],Supplier_Products[[#All],[Supplier]])</f>
        <v>SoundWave</v>
      </c>
    </row>
    <row r="221" spans="1:8" x14ac:dyDescent="0.3">
      <c r="A221">
        <v>1220</v>
      </c>
      <c r="B221">
        <v>534</v>
      </c>
      <c r="C221" t="s">
        <v>137</v>
      </c>
      <c r="D221" s="5">
        <v>45641</v>
      </c>
      <c r="E221" t="s">
        <v>188</v>
      </c>
      <c r="F221">
        <v>17</v>
      </c>
      <c r="G221" t="str">
        <f>VLOOKUP(Table28[[#This Row],[SKU]],Supplier_Products[[#All],[Supplier]:[SKU]],3,FALSE)</f>
        <v>CleanBot</v>
      </c>
      <c r="H221" t="str" cm="1">
        <f t="array" ref="H221">_xlfn.XLOOKUP(Table28[[#This Row],[SKU]],Supplier_Products[[#All],[SKU]],Supplier_Products[[#All],[Supplier]])</f>
        <v>CleanBot</v>
      </c>
    </row>
    <row r="222" spans="1:8" x14ac:dyDescent="0.3">
      <c r="A222">
        <v>1221</v>
      </c>
      <c r="B222">
        <v>671</v>
      </c>
      <c r="C222" t="s">
        <v>121</v>
      </c>
      <c r="D222" s="5">
        <v>45408</v>
      </c>
      <c r="E222" t="s">
        <v>186</v>
      </c>
      <c r="F222">
        <v>3</v>
      </c>
      <c r="G222" t="str">
        <f>VLOOKUP(Table28[[#This Row],[SKU]],Supplier_Products[[#All],[Supplier]:[SKU]],3,FALSE)</f>
        <v>ClickTech</v>
      </c>
      <c r="H222" t="str" cm="1">
        <f t="array" ref="H222">_xlfn.XLOOKUP(Table28[[#This Row],[SKU]],Supplier_Products[[#All],[SKU]],Supplier_Products[[#All],[Supplier]])</f>
        <v>ClickTech</v>
      </c>
    </row>
    <row r="223" spans="1:8" x14ac:dyDescent="0.3">
      <c r="A223">
        <v>1222</v>
      </c>
      <c r="B223">
        <v>510</v>
      </c>
      <c r="C223" t="s">
        <v>126</v>
      </c>
      <c r="D223" s="5">
        <v>45336</v>
      </c>
      <c r="E223" t="s">
        <v>191</v>
      </c>
      <c r="F223">
        <v>7</v>
      </c>
      <c r="G223" t="str">
        <f>VLOOKUP(Table28[[#This Row],[SKU]],Supplier_Products[[#All],[Supplier]:[SKU]],3,FALSE)</f>
        <v>FitTech</v>
      </c>
      <c r="H223" t="str" cm="1">
        <f t="array" ref="H223">_xlfn.XLOOKUP(Table28[[#This Row],[SKU]],Supplier_Products[[#All],[SKU]],Supplier_Products[[#All],[Supplier]])</f>
        <v>FitTech</v>
      </c>
    </row>
    <row r="224" spans="1:8" x14ac:dyDescent="0.3">
      <c r="A224">
        <v>1223</v>
      </c>
      <c r="B224">
        <v>640</v>
      </c>
      <c r="C224" t="s">
        <v>154</v>
      </c>
      <c r="D224" s="5">
        <v>45375</v>
      </c>
      <c r="E224" t="s">
        <v>187</v>
      </c>
      <c r="F224">
        <v>11</v>
      </c>
      <c r="G224" t="str">
        <f>VLOOKUP(Table28[[#This Row],[SKU]],Supplier_Products[[#All],[Supplier]:[SKU]],3,FALSE)</f>
        <v>ShutterPro</v>
      </c>
      <c r="H224" t="str" cm="1">
        <f t="array" ref="H224">_xlfn.XLOOKUP(Table28[[#This Row],[SKU]],Supplier_Products[[#All],[SKU]],Supplier_Products[[#All],[Supplier]])</f>
        <v>ShutterPro</v>
      </c>
    </row>
    <row r="225" spans="1:8" x14ac:dyDescent="0.3">
      <c r="A225">
        <v>1224</v>
      </c>
      <c r="B225">
        <v>626</v>
      </c>
      <c r="C225" t="s">
        <v>142</v>
      </c>
      <c r="D225" s="5">
        <v>45590</v>
      </c>
      <c r="E225" t="s">
        <v>186</v>
      </c>
      <c r="F225">
        <v>5</v>
      </c>
      <c r="G225" t="str">
        <f>VLOOKUP(Table28[[#This Row],[SKU]],Supplier_Products[[#All],[Supplier]:[SKU]],3,FALSE)</f>
        <v>GPUForce</v>
      </c>
      <c r="H225" t="str" cm="1">
        <f t="array" ref="H225">_xlfn.XLOOKUP(Table28[[#This Row],[SKU]],Supplier_Products[[#All],[SKU]],Supplier_Products[[#All],[Supplier]])</f>
        <v>GPUForce</v>
      </c>
    </row>
    <row r="226" spans="1:8" x14ac:dyDescent="0.3">
      <c r="A226">
        <v>1225</v>
      </c>
      <c r="B226">
        <v>511</v>
      </c>
      <c r="C226" t="s">
        <v>9</v>
      </c>
      <c r="D226" s="5">
        <v>45349</v>
      </c>
      <c r="E226" t="s">
        <v>14</v>
      </c>
      <c r="F226">
        <v>16</v>
      </c>
      <c r="G226" t="str">
        <f>VLOOKUP(Table28[[#This Row],[SKU]],Supplier_Products[[#All],[Supplier]:[SKU]],3,FALSE)</f>
        <v>CompuTech</v>
      </c>
      <c r="H226" t="str" cm="1">
        <f t="array" ref="H226">_xlfn.XLOOKUP(Table28[[#This Row],[SKU]],Supplier_Products[[#All],[SKU]],Supplier_Products[[#All],[Supplier]])</f>
        <v>CompuTech</v>
      </c>
    </row>
    <row r="227" spans="1:8" x14ac:dyDescent="0.3">
      <c r="A227">
        <v>1226</v>
      </c>
      <c r="B227">
        <v>518</v>
      </c>
      <c r="C227" t="s">
        <v>142</v>
      </c>
      <c r="D227" s="5">
        <v>45410</v>
      </c>
      <c r="E227" t="s">
        <v>186</v>
      </c>
      <c r="F227">
        <v>16</v>
      </c>
      <c r="G227" t="str">
        <f>VLOOKUP(Table28[[#This Row],[SKU]],Supplier_Products[[#All],[Supplier]:[SKU]],3,FALSE)</f>
        <v>GPUForce</v>
      </c>
      <c r="H227" t="str" cm="1">
        <f t="array" ref="H227">_xlfn.XLOOKUP(Table28[[#This Row],[SKU]],Supplier_Products[[#All],[SKU]],Supplier_Products[[#All],[Supplier]])</f>
        <v>GPUForce</v>
      </c>
    </row>
    <row r="228" spans="1:8" x14ac:dyDescent="0.3">
      <c r="A228">
        <v>1227</v>
      </c>
      <c r="B228">
        <v>537</v>
      </c>
      <c r="C228" t="s">
        <v>169</v>
      </c>
      <c r="D228" s="5">
        <v>45412</v>
      </c>
      <c r="E228" t="s">
        <v>14</v>
      </c>
      <c r="F228">
        <v>16</v>
      </c>
      <c r="G228" t="str">
        <f>VLOOKUP(Table28[[#This Row],[SKU]],Supplier_Products[[#All],[Supplier]:[SKU]],3,FALSE)</f>
        <v>SafeDrive</v>
      </c>
      <c r="H228" t="str" cm="1">
        <f t="array" ref="H228">_xlfn.XLOOKUP(Table28[[#This Row],[SKU]],Supplier_Products[[#All],[SKU]],Supplier_Products[[#All],[Supplier]])</f>
        <v>SafeDrive</v>
      </c>
    </row>
    <row r="229" spans="1:8" x14ac:dyDescent="0.3">
      <c r="A229">
        <v>1228</v>
      </c>
      <c r="B229">
        <v>557</v>
      </c>
      <c r="C229" t="s">
        <v>117</v>
      </c>
      <c r="D229" s="5">
        <v>45433</v>
      </c>
      <c r="E229" t="s">
        <v>190</v>
      </c>
      <c r="F229">
        <v>11</v>
      </c>
      <c r="G229" t="str">
        <f>VLOOKUP(Table28[[#This Row],[SKU]],Supplier_Products[[#All],[Supplier]:[SKU]],3,FALSE)</f>
        <v>DataSafe</v>
      </c>
      <c r="H229" t="str" cm="1">
        <f t="array" ref="H229">_xlfn.XLOOKUP(Table28[[#This Row],[SKU]],Supplier_Products[[#All],[SKU]],Supplier_Products[[#All],[Supplier]])</f>
        <v>DataSafe</v>
      </c>
    </row>
    <row r="230" spans="1:8" x14ac:dyDescent="0.3">
      <c r="A230">
        <v>1229</v>
      </c>
      <c r="B230">
        <v>532</v>
      </c>
      <c r="C230" t="s">
        <v>10</v>
      </c>
      <c r="D230" s="5">
        <v>45491</v>
      </c>
      <c r="E230" t="s">
        <v>13</v>
      </c>
      <c r="F230">
        <v>19</v>
      </c>
      <c r="G230" t="str">
        <f>VLOOKUP(Table28[[#This Row],[SKU]],Supplier_Products[[#All],[Supplier]:[SKU]],3,FALSE)</f>
        <v>TabletMakers</v>
      </c>
      <c r="H230" t="str" cm="1">
        <f t="array" ref="H230">_xlfn.XLOOKUP(Table28[[#This Row],[SKU]],Supplier_Products[[#All],[SKU]],Supplier_Products[[#All],[Supplier]])</f>
        <v>TabletMakers</v>
      </c>
    </row>
    <row r="231" spans="1:8" x14ac:dyDescent="0.3">
      <c r="A231">
        <v>1230</v>
      </c>
      <c r="B231">
        <v>689</v>
      </c>
      <c r="C231" t="s">
        <v>10</v>
      </c>
      <c r="D231" s="5">
        <v>45509</v>
      </c>
      <c r="E231" t="s">
        <v>13</v>
      </c>
      <c r="F231">
        <v>4</v>
      </c>
      <c r="G231" t="str">
        <f>VLOOKUP(Table28[[#This Row],[SKU]],Supplier_Products[[#All],[Supplier]:[SKU]],3,FALSE)</f>
        <v>TabletMakers</v>
      </c>
      <c r="H231" t="str" cm="1">
        <f t="array" ref="H231">_xlfn.XLOOKUP(Table28[[#This Row],[SKU]],Supplier_Products[[#All],[SKU]],Supplier_Products[[#All],[Supplier]])</f>
        <v>TabletMakers</v>
      </c>
    </row>
    <row r="232" spans="1:8" x14ac:dyDescent="0.3">
      <c r="A232">
        <v>1231</v>
      </c>
      <c r="B232">
        <v>695</v>
      </c>
      <c r="C232" t="s">
        <v>154</v>
      </c>
      <c r="D232" s="5">
        <v>45531</v>
      </c>
      <c r="E232" t="s">
        <v>187</v>
      </c>
      <c r="F232">
        <v>18</v>
      </c>
      <c r="G232" t="str">
        <f>VLOOKUP(Table28[[#This Row],[SKU]],Supplier_Products[[#All],[Supplier]:[SKU]],3,FALSE)</f>
        <v>ShutterPro</v>
      </c>
      <c r="H232" t="str" cm="1">
        <f t="array" ref="H232">_xlfn.XLOOKUP(Table28[[#This Row],[SKU]],Supplier_Products[[#All],[SKU]],Supplier_Products[[#All],[Supplier]])</f>
        <v>ShutterPro</v>
      </c>
    </row>
    <row r="233" spans="1:8" x14ac:dyDescent="0.3">
      <c r="A233">
        <v>1232</v>
      </c>
      <c r="B233">
        <v>669</v>
      </c>
      <c r="C233" t="s">
        <v>117</v>
      </c>
      <c r="D233" s="5">
        <v>45418</v>
      </c>
      <c r="E233" t="s">
        <v>190</v>
      </c>
      <c r="F233">
        <v>6</v>
      </c>
      <c r="G233" t="str">
        <f>VLOOKUP(Table28[[#This Row],[SKU]],Supplier_Products[[#All],[Supplier]:[SKU]],3,FALSE)</f>
        <v>DataSafe</v>
      </c>
      <c r="H233" t="str" cm="1">
        <f t="array" ref="H233">_xlfn.XLOOKUP(Table28[[#This Row],[SKU]],Supplier_Products[[#All],[SKU]],Supplier_Products[[#All],[Supplier]])</f>
        <v>DataSafe</v>
      </c>
    </row>
    <row r="234" spans="1:8" x14ac:dyDescent="0.3">
      <c r="A234">
        <v>1233</v>
      </c>
      <c r="B234">
        <v>511</v>
      </c>
      <c r="C234" t="s">
        <v>117</v>
      </c>
      <c r="D234" s="5">
        <v>45496</v>
      </c>
      <c r="E234" t="s">
        <v>190</v>
      </c>
      <c r="F234">
        <v>19</v>
      </c>
      <c r="G234" t="str">
        <f>VLOOKUP(Table28[[#This Row],[SKU]],Supplier_Products[[#All],[Supplier]:[SKU]],3,FALSE)</f>
        <v>DataSafe</v>
      </c>
      <c r="H234" t="str" cm="1">
        <f t="array" ref="H234">_xlfn.XLOOKUP(Table28[[#This Row],[SKU]],Supplier_Products[[#All],[SKU]],Supplier_Products[[#All],[Supplier]])</f>
        <v>DataSafe</v>
      </c>
    </row>
    <row r="235" spans="1:8" x14ac:dyDescent="0.3">
      <c r="A235">
        <v>1234</v>
      </c>
      <c r="B235">
        <v>505</v>
      </c>
      <c r="C235" t="s">
        <v>173</v>
      </c>
      <c r="D235" s="5">
        <v>45455</v>
      </c>
      <c r="E235" t="s">
        <v>14</v>
      </c>
      <c r="F235">
        <v>4</v>
      </c>
      <c r="G235" t="str">
        <f>VLOOKUP(Table28[[#This Row],[SKU]],Supplier_Products[[#All],[Supplier]:[SKU]],3,FALSE)</f>
        <v>SafeTech</v>
      </c>
      <c r="H235" t="str" cm="1">
        <f t="array" ref="H235">_xlfn.XLOOKUP(Table28[[#This Row],[SKU]],Supplier_Products[[#All],[SKU]],Supplier_Products[[#All],[Supplier]])</f>
        <v>SafeTech</v>
      </c>
    </row>
    <row r="236" spans="1:8" x14ac:dyDescent="0.3">
      <c r="A236">
        <v>1235</v>
      </c>
      <c r="B236">
        <v>520</v>
      </c>
      <c r="C236" t="s">
        <v>175</v>
      </c>
      <c r="D236" s="5">
        <v>45362</v>
      </c>
      <c r="E236" t="s">
        <v>186</v>
      </c>
      <c r="F236">
        <v>12</v>
      </c>
      <c r="G236" t="str">
        <f>VLOOKUP(Table28[[#This Row],[SKU]],Supplier_Products[[#All],[Supplier]:[SKU]],3,FALSE)</f>
        <v>DisplayPro</v>
      </c>
      <c r="H236" t="str" cm="1">
        <f t="array" ref="H236">_xlfn.XLOOKUP(Table28[[#This Row],[SKU]],Supplier_Products[[#All],[SKU]],Supplier_Products[[#All],[Supplier]])</f>
        <v>DisplayPro</v>
      </c>
    </row>
    <row r="237" spans="1:8" x14ac:dyDescent="0.3">
      <c r="A237">
        <v>1236</v>
      </c>
      <c r="B237">
        <v>637</v>
      </c>
      <c r="C237" t="s">
        <v>133</v>
      </c>
      <c r="D237" s="5">
        <v>45327</v>
      </c>
      <c r="E237" t="s">
        <v>14</v>
      </c>
      <c r="F237">
        <v>2</v>
      </c>
      <c r="G237" t="str">
        <f>VLOOKUP(Table28[[#This Row],[SKU]],Supplier_Products[[#All],[Supplier]:[SKU]],3,FALSE)</f>
        <v>SafeTech</v>
      </c>
      <c r="H237" t="str" cm="1">
        <f t="array" ref="H237">_xlfn.XLOOKUP(Table28[[#This Row],[SKU]],Supplier_Products[[#All],[SKU]],Supplier_Products[[#All],[Supplier]])</f>
        <v>SafeTech</v>
      </c>
    </row>
    <row r="238" spans="1:8" x14ac:dyDescent="0.3">
      <c r="A238">
        <v>1237</v>
      </c>
      <c r="B238">
        <v>689</v>
      </c>
      <c r="C238" t="s">
        <v>117</v>
      </c>
      <c r="D238" s="5">
        <v>45561</v>
      </c>
      <c r="E238" t="s">
        <v>190</v>
      </c>
      <c r="F238">
        <v>1</v>
      </c>
      <c r="G238" t="str">
        <f>VLOOKUP(Table28[[#This Row],[SKU]],Supplier_Products[[#All],[Supplier]:[SKU]],3,FALSE)</f>
        <v>DataSafe</v>
      </c>
      <c r="H238" t="str" cm="1">
        <f t="array" ref="H238">_xlfn.XLOOKUP(Table28[[#This Row],[SKU]],Supplier_Products[[#All],[SKU]],Supplier_Products[[#All],[Supplier]])</f>
        <v>DataSafe</v>
      </c>
    </row>
    <row r="239" spans="1:8" x14ac:dyDescent="0.3">
      <c r="A239">
        <v>1238</v>
      </c>
      <c r="B239">
        <v>719</v>
      </c>
      <c r="C239" t="s">
        <v>8</v>
      </c>
      <c r="D239" s="5">
        <v>45523</v>
      </c>
      <c r="E239" t="s">
        <v>15</v>
      </c>
      <c r="F239">
        <v>3</v>
      </c>
      <c r="G239" t="str">
        <f>VLOOKUP(Table28[[#This Row],[SKU]],Supplier_Products[[#All],[Supplier]:[SKU]],3,FALSE)</f>
        <v>Wearable Inc.</v>
      </c>
      <c r="H239" t="str" cm="1">
        <f t="array" ref="H239">_xlfn.XLOOKUP(Table28[[#This Row],[SKU]],Supplier_Products[[#All],[SKU]],Supplier_Products[[#All],[Supplier]])</f>
        <v>Wearable Inc.</v>
      </c>
    </row>
    <row r="240" spans="1:8" x14ac:dyDescent="0.3">
      <c r="A240">
        <v>1239</v>
      </c>
      <c r="B240">
        <v>537</v>
      </c>
      <c r="C240" t="s">
        <v>158</v>
      </c>
      <c r="D240" s="5">
        <v>45444</v>
      </c>
      <c r="E240" t="s">
        <v>186</v>
      </c>
      <c r="F240">
        <v>1</v>
      </c>
      <c r="G240" t="str">
        <f>VLOOKUP(Table28[[#This Row],[SKU]],Supplier_Products[[#All],[Supplier]:[SKU]],3,FALSE)</f>
        <v>ClickTech</v>
      </c>
      <c r="H240" t="str" cm="1">
        <f t="array" ref="H240">_xlfn.XLOOKUP(Table28[[#This Row],[SKU]],Supplier_Products[[#All],[SKU]],Supplier_Products[[#All],[Supplier]])</f>
        <v>ClickTech</v>
      </c>
    </row>
    <row r="241" spans="1:8" x14ac:dyDescent="0.3">
      <c r="A241">
        <v>1240</v>
      </c>
      <c r="B241">
        <v>657</v>
      </c>
      <c r="C241" t="s">
        <v>9</v>
      </c>
      <c r="D241" s="5">
        <v>45635</v>
      </c>
      <c r="E241" t="s">
        <v>14</v>
      </c>
      <c r="F241">
        <v>16</v>
      </c>
      <c r="G241" t="str">
        <f>VLOOKUP(Table28[[#This Row],[SKU]],Supplier_Products[[#All],[Supplier]:[SKU]],3,FALSE)</f>
        <v>CompuTech</v>
      </c>
      <c r="H241" t="str" cm="1">
        <f t="array" ref="H241">_xlfn.XLOOKUP(Table28[[#This Row],[SKU]],Supplier_Products[[#All],[SKU]],Supplier_Products[[#All],[Supplier]])</f>
        <v>CompuTech</v>
      </c>
    </row>
    <row r="242" spans="1:8" x14ac:dyDescent="0.3">
      <c r="A242">
        <v>1241</v>
      </c>
      <c r="B242">
        <v>698</v>
      </c>
      <c r="C242" t="s">
        <v>10</v>
      </c>
      <c r="D242" s="5">
        <v>45394</v>
      </c>
      <c r="E242" t="s">
        <v>13</v>
      </c>
      <c r="F242">
        <v>13</v>
      </c>
      <c r="G242" t="str">
        <f>VLOOKUP(Table28[[#This Row],[SKU]],Supplier_Products[[#All],[Supplier]:[SKU]],3,FALSE)</f>
        <v>TabletMakers</v>
      </c>
      <c r="H242" t="str" cm="1">
        <f t="array" ref="H242">_xlfn.XLOOKUP(Table28[[#This Row],[SKU]],Supplier_Products[[#All],[SKU]],Supplier_Products[[#All],[Supplier]])</f>
        <v>TabletMakers</v>
      </c>
    </row>
    <row r="243" spans="1:8" x14ac:dyDescent="0.3">
      <c r="A243">
        <v>1242</v>
      </c>
      <c r="B243">
        <v>556</v>
      </c>
      <c r="C243" t="s">
        <v>150</v>
      </c>
      <c r="D243" s="5">
        <v>45308</v>
      </c>
      <c r="E243" t="s">
        <v>187</v>
      </c>
      <c r="F243">
        <v>12</v>
      </c>
      <c r="G243" t="str">
        <f>VLOOKUP(Table28[[#This Row],[SKU]],Supplier_Products[[#All],[Supplier]:[SKU]],3,FALSE)</f>
        <v>ShutterPro</v>
      </c>
      <c r="H243" t="str" cm="1">
        <f t="array" ref="H243">_xlfn.XLOOKUP(Table28[[#This Row],[SKU]],Supplier_Products[[#All],[SKU]],Supplier_Products[[#All],[Supplier]])</f>
        <v>ShutterPro</v>
      </c>
    </row>
    <row r="244" spans="1:8" x14ac:dyDescent="0.3">
      <c r="A244">
        <v>1243</v>
      </c>
      <c r="B244">
        <v>595</v>
      </c>
      <c r="C244" t="s">
        <v>73</v>
      </c>
      <c r="D244" s="5">
        <v>45500</v>
      </c>
      <c r="E244" t="s">
        <v>186</v>
      </c>
      <c r="F244">
        <v>20</v>
      </c>
      <c r="G244" t="str">
        <f>VLOOKUP(Table28[[#This Row],[SKU]],Supplier_Products[[#All],[Supplier]:[SKU]],3,FALSE)</f>
        <v>ClickTech</v>
      </c>
      <c r="H244" t="str" cm="1">
        <f t="array" ref="H244">_xlfn.XLOOKUP(Table28[[#This Row],[SKU]],Supplier_Products[[#All],[SKU]],Supplier_Products[[#All],[Supplier]])</f>
        <v>ClickTech</v>
      </c>
    </row>
    <row r="245" spans="1:8" x14ac:dyDescent="0.3">
      <c r="A245">
        <v>1244</v>
      </c>
      <c r="B245">
        <v>666</v>
      </c>
      <c r="C245" t="s">
        <v>6</v>
      </c>
      <c r="D245" s="5">
        <v>45344</v>
      </c>
      <c r="E245" t="s">
        <v>12</v>
      </c>
      <c r="F245">
        <v>17</v>
      </c>
      <c r="G245" t="str">
        <f>VLOOKUP(Table28[[#This Row],[SKU]],Supplier_Products[[#All],[Supplier]:[SKU]],3,FALSE)</f>
        <v>TechCorp</v>
      </c>
      <c r="H245" t="str" cm="1">
        <f t="array" ref="H245">_xlfn.XLOOKUP(Table28[[#This Row],[SKU]],Supplier_Products[[#All],[SKU]],Supplier_Products[[#All],[Supplier]])</f>
        <v>TechCorp</v>
      </c>
    </row>
    <row r="246" spans="1:8" x14ac:dyDescent="0.3">
      <c r="A246">
        <v>1245</v>
      </c>
      <c r="B246">
        <v>689</v>
      </c>
      <c r="C246" t="s">
        <v>117</v>
      </c>
      <c r="D246" s="5">
        <v>45400</v>
      </c>
      <c r="E246" t="s">
        <v>190</v>
      </c>
      <c r="F246">
        <v>11</v>
      </c>
      <c r="G246" t="str">
        <f>VLOOKUP(Table28[[#This Row],[SKU]],Supplier_Products[[#All],[Supplier]:[SKU]],3,FALSE)</f>
        <v>DataSafe</v>
      </c>
      <c r="H246" t="str" cm="1">
        <f t="array" ref="H246">_xlfn.XLOOKUP(Table28[[#This Row],[SKU]],Supplier_Products[[#All],[SKU]],Supplier_Products[[#All],[Supplier]])</f>
        <v>DataSafe</v>
      </c>
    </row>
    <row r="247" spans="1:8" x14ac:dyDescent="0.3">
      <c r="A247">
        <v>1246</v>
      </c>
      <c r="B247">
        <v>617</v>
      </c>
      <c r="C247" t="s">
        <v>11</v>
      </c>
      <c r="D247" s="5">
        <v>45440</v>
      </c>
      <c r="E247" t="s">
        <v>12</v>
      </c>
      <c r="F247">
        <v>1</v>
      </c>
      <c r="G247" t="str">
        <f>VLOOKUP(Table28[[#This Row],[SKU]],Supplier_Products[[#All],[Supplier]:[SKU]],3,FALSE)</f>
        <v>ChargePro</v>
      </c>
      <c r="H247" t="str" cm="1">
        <f t="array" ref="H247">_xlfn.XLOOKUP(Table28[[#This Row],[SKU]],Supplier_Products[[#All],[SKU]],Supplier_Products[[#All],[Supplier]])</f>
        <v>ChargePro</v>
      </c>
    </row>
    <row r="248" spans="1:8" x14ac:dyDescent="0.3">
      <c r="A248">
        <v>1247</v>
      </c>
      <c r="B248">
        <v>746</v>
      </c>
      <c r="C248" t="s">
        <v>9</v>
      </c>
      <c r="D248" s="5">
        <v>45460</v>
      </c>
      <c r="E248" t="s">
        <v>14</v>
      </c>
      <c r="F248">
        <v>18</v>
      </c>
      <c r="G248" t="str">
        <f>VLOOKUP(Table28[[#This Row],[SKU]],Supplier_Products[[#All],[Supplier]:[SKU]],3,FALSE)</f>
        <v>CompuTech</v>
      </c>
      <c r="H248" t="str" cm="1">
        <f t="array" ref="H248">_xlfn.XLOOKUP(Table28[[#This Row],[SKU]],Supplier_Products[[#All],[SKU]],Supplier_Products[[#All],[Supplier]])</f>
        <v>CompuTech</v>
      </c>
    </row>
    <row r="249" spans="1:8" x14ac:dyDescent="0.3">
      <c r="A249">
        <v>1248</v>
      </c>
      <c r="B249">
        <v>645</v>
      </c>
      <c r="C249" t="s">
        <v>178</v>
      </c>
      <c r="D249" s="5">
        <v>45577</v>
      </c>
      <c r="E249" t="s">
        <v>13</v>
      </c>
      <c r="F249">
        <v>20</v>
      </c>
      <c r="G249" t="str">
        <f>VLOOKUP(Table28[[#This Row],[SKU]],Supplier_Products[[#All],[Supplier]:[SKU]],3,FALSE)</f>
        <v>DockIt</v>
      </c>
      <c r="H249" t="str" cm="1">
        <f t="array" ref="H249">_xlfn.XLOOKUP(Table28[[#This Row],[SKU]],Supplier_Products[[#All],[SKU]],Supplier_Products[[#All],[Supplier]])</f>
        <v>DockIt</v>
      </c>
    </row>
    <row r="250" spans="1:8" x14ac:dyDescent="0.3">
      <c r="A250">
        <v>1249</v>
      </c>
      <c r="B250">
        <v>709</v>
      </c>
      <c r="C250" t="s">
        <v>184</v>
      </c>
      <c r="D250" s="5">
        <v>45337</v>
      </c>
      <c r="E250" t="s">
        <v>189</v>
      </c>
      <c r="F250">
        <v>17</v>
      </c>
      <c r="G250" t="str">
        <f>VLOOKUP(Table28[[#This Row],[SKU]],Supplier_Products[[#All],[Supplier]:[SKU]],3,FALSE)</f>
        <v>VisionTech</v>
      </c>
      <c r="H250" t="str" cm="1">
        <f t="array" ref="H250">_xlfn.XLOOKUP(Table28[[#This Row],[SKU]],Supplier_Products[[#All],[SKU]],Supplier_Products[[#All],[Supplier]])</f>
        <v>VisionTech</v>
      </c>
    </row>
    <row r="251" spans="1:8" x14ac:dyDescent="0.3">
      <c r="A251">
        <v>1250</v>
      </c>
      <c r="B251">
        <v>587</v>
      </c>
      <c r="C251" t="s">
        <v>126</v>
      </c>
      <c r="D251" s="5">
        <v>45630</v>
      </c>
      <c r="E251" t="s">
        <v>191</v>
      </c>
      <c r="F251">
        <v>14</v>
      </c>
      <c r="G251" t="str">
        <f>VLOOKUP(Table28[[#This Row],[SKU]],Supplier_Products[[#All],[Supplier]:[SKU]],3,FALSE)</f>
        <v>FitTech</v>
      </c>
      <c r="H251" t="str" cm="1">
        <f t="array" ref="H251">_xlfn.XLOOKUP(Table28[[#This Row],[SKU]],Supplier_Products[[#All],[SKU]],Supplier_Products[[#All],[Supplier]])</f>
        <v>FitTech</v>
      </c>
    </row>
    <row r="252" spans="1:8" x14ac:dyDescent="0.3">
      <c r="A252">
        <v>1251</v>
      </c>
      <c r="B252">
        <v>655</v>
      </c>
      <c r="C252" t="s">
        <v>121</v>
      </c>
      <c r="D252" s="5">
        <v>45612</v>
      </c>
      <c r="E252" t="s">
        <v>186</v>
      </c>
      <c r="F252">
        <v>18</v>
      </c>
      <c r="G252" t="str">
        <f>VLOOKUP(Table28[[#This Row],[SKU]],Supplier_Products[[#All],[Supplier]:[SKU]],3,FALSE)</f>
        <v>ClickTech</v>
      </c>
      <c r="H252" t="str" cm="1">
        <f t="array" ref="H252">_xlfn.XLOOKUP(Table28[[#This Row],[SKU]],Supplier_Products[[#All],[SKU]],Supplier_Products[[#All],[Supplier]])</f>
        <v>ClickTech</v>
      </c>
    </row>
    <row r="253" spans="1:8" x14ac:dyDescent="0.3">
      <c r="A253">
        <v>1252</v>
      </c>
      <c r="B253">
        <v>679</v>
      </c>
      <c r="C253" t="s">
        <v>9</v>
      </c>
      <c r="D253" s="5">
        <v>45631</v>
      </c>
      <c r="E253" t="s">
        <v>14</v>
      </c>
      <c r="F253">
        <v>2</v>
      </c>
      <c r="G253" t="str">
        <f>VLOOKUP(Table28[[#This Row],[SKU]],Supplier_Products[[#All],[Supplier]:[SKU]],3,FALSE)</f>
        <v>CompuTech</v>
      </c>
      <c r="H253" t="str" cm="1">
        <f t="array" ref="H253">_xlfn.XLOOKUP(Table28[[#This Row],[SKU]],Supplier_Products[[#All],[SKU]],Supplier_Products[[#All],[Supplier]])</f>
        <v>CompuTech</v>
      </c>
    </row>
    <row r="254" spans="1:8" x14ac:dyDescent="0.3">
      <c r="A254">
        <v>1253</v>
      </c>
      <c r="B254">
        <v>510</v>
      </c>
      <c r="C254" t="s">
        <v>129</v>
      </c>
      <c r="D254" s="5">
        <v>45481</v>
      </c>
      <c r="E254" t="s">
        <v>12</v>
      </c>
      <c r="F254">
        <v>16</v>
      </c>
      <c r="G254" t="str">
        <f>VLOOKUP(Table28[[#This Row],[SKU]],Supplier_Products[[#All],[Supplier]:[SKU]],3,FALSE)</f>
        <v>StreamIt</v>
      </c>
      <c r="H254" t="str" cm="1">
        <f t="array" ref="H254">_xlfn.XLOOKUP(Table28[[#This Row],[SKU]],Supplier_Products[[#All],[SKU]],Supplier_Products[[#All],[Supplier]])</f>
        <v>StreamIt</v>
      </c>
    </row>
    <row r="255" spans="1:8" x14ac:dyDescent="0.3">
      <c r="A255">
        <v>1254</v>
      </c>
      <c r="B255">
        <v>667</v>
      </c>
      <c r="C255" t="s">
        <v>156</v>
      </c>
      <c r="D255" s="5">
        <v>45343</v>
      </c>
      <c r="E255" t="s">
        <v>186</v>
      </c>
      <c r="F255">
        <v>7</v>
      </c>
      <c r="G255" t="str">
        <f>VLOOKUP(Table28[[#This Row],[SKU]],Supplier_Products[[#All],[Supplier]:[SKU]],3,FALSE)</f>
        <v>ClickTech</v>
      </c>
      <c r="H255" t="str" cm="1">
        <f t="array" ref="H255">_xlfn.XLOOKUP(Table28[[#This Row],[SKU]],Supplier_Products[[#All],[SKU]],Supplier_Products[[#All],[Supplier]])</f>
        <v>ClickTech</v>
      </c>
    </row>
    <row r="256" spans="1:8" x14ac:dyDescent="0.3">
      <c r="A256">
        <v>1255</v>
      </c>
      <c r="B256">
        <v>556</v>
      </c>
      <c r="C256" t="s">
        <v>169</v>
      </c>
      <c r="D256" s="5">
        <v>45516</v>
      </c>
      <c r="E256" t="s">
        <v>14</v>
      </c>
      <c r="F256">
        <v>20</v>
      </c>
      <c r="G256" t="str">
        <f>VLOOKUP(Table28[[#This Row],[SKU]],Supplier_Products[[#All],[Supplier]:[SKU]],3,FALSE)</f>
        <v>SafeDrive</v>
      </c>
      <c r="H256" t="str" cm="1">
        <f t="array" ref="H256">_xlfn.XLOOKUP(Table28[[#This Row],[SKU]],Supplier_Products[[#All],[SKU]],Supplier_Products[[#All],[Supplier]])</f>
        <v>SafeDrive</v>
      </c>
    </row>
    <row r="257" spans="1:8" x14ac:dyDescent="0.3">
      <c r="A257">
        <v>1256</v>
      </c>
      <c r="B257">
        <v>548</v>
      </c>
      <c r="C257" t="s">
        <v>137</v>
      </c>
      <c r="D257" s="5">
        <v>45397</v>
      </c>
      <c r="E257" t="s">
        <v>188</v>
      </c>
      <c r="F257">
        <v>14</v>
      </c>
      <c r="G257" t="str">
        <f>VLOOKUP(Table28[[#This Row],[SKU]],Supplier_Products[[#All],[Supplier]:[SKU]],3,FALSE)</f>
        <v>CleanBot</v>
      </c>
      <c r="H257" t="str" cm="1">
        <f t="array" ref="H257">_xlfn.XLOOKUP(Table28[[#This Row],[SKU]],Supplier_Products[[#All],[SKU]],Supplier_Products[[#All],[Supplier]])</f>
        <v>CleanBot</v>
      </c>
    </row>
    <row r="258" spans="1:8" x14ac:dyDescent="0.3">
      <c r="A258">
        <v>1257</v>
      </c>
      <c r="B258">
        <v>647</v>
      </c>
      <c r="C258" t="s">
        <v>11</v>
      </c>
      <c r="D258" s="5">
        <v>45503</v>
      </c>
      <c r="E258" t="s">
        <v>12</v>
      </c>
      <c r="F258">
        <v>9</v>
      </c>
      <c r="G258" t="str">
        <f>VLOOKUP(Table28[[#This Row],[SKU]],Supplier_Products[[#All],[Supplier]:[SKU]],3,FALSE)</f>
        <v>ChargePro</v>
      </c>
      <c r="H258" t="str" cm="1">
        <f t="array" ref="H258">_xlfn.XLOOKUP(Table28[[#This Row],[SKU]],Supplier_Products[[#All],[SKU]],Supplier_Products[[#All],[Supplier]])</f>
        <v>ChargePro</v>
      </c>
    </row>
    <row r="259" spans="1:8" x14ac:dyDescent="0.3">
      <c r="A259">
        <v>1258</v>
      </c>
      <c r="B259">
        <v>747</v>
      </c>
      <c r="C259" t="s">
        <v>9</v>
      </c>
      <c r="D259" s="5">
        <v>45358</v>
      </c>
      <c r="E259" t="s">
        <v>14</v>
      </c>
      <c r="F259">
        <v>2</v>
      </c>
      <c r="G259" t="str">
        <f>VLOOKUP(Table28[[#This Row],[SKU]],Supplier_Products[[#All],[Supplier]:[SKU]],3,FALSE)</f>
        <v>CompuTech</v>
      </c>
      <c r="H259" t="str" cm="1">
        <f t="array" ref="H259">_xlfn.XLOOKUP(Table28[[#This Row],[SKU]],Supplier_Products[[#All],[SKU]],Supplier_Products[[#All],[Supplier]])</f>
        <v>CompuTech</v>
      </c>
    </row>
    <row r="260" spans="1:8" x14ac:dyDescent="0.3">
      <c r="A260">
        <v>1259</v>
      </c>
      <c r="B260">
        <v>715</v>
      </c>
      <c r="C260" t="s">
        <v>142</v>
      </c>
      <c r="D260" s="5">
        <v>45612</v>
      </c>
      <c r="E260" t="s">
        <v>186</v>
      </c>
      <c r="F260">
        <v>19</v>
      </c>
      <c r="G260" t="str">
        <f>VLOOKUP(Table28[[#This Row],[SKU]],Supplier_Products[[#All],[Supplier]:[SKU]],3,FALSE)</f>
        <v>GPUForce</v>
      </c>
      <c r="H260" t="str" cm="1">
        <f t="array" ref="H260">_xlfn.XLOOKUP(Table28[[#This Row],[SKU]],Supplier_Products[[#All],[SKU]],Supplier_Products[[#All],[Supplier]])</f>
        <v>GPUForce</v>
      </c>
    </row>
    <row r="261" spans="1:8" x14ac:dyDescent="0.3">
      <c r="A261">
        <v>1260</v>
      </c>
      <c r="B261">
        <v>651</v>
      </c>
      <c r="C261" t="s">
        <v>175</v>
      </c>
      <c r="D261" s="5">
        <v>45517</v>
      </c>
      <c r="E261" t="s">
        <v>186</v>
      </c>
      <c r="F261">
        <v>3</v>
      </c>
      <c r="G261" t="str">
        <f>VLOOKUP(Table28[[#This Row],[SKU]],Supplier_Products[[#All],[Supplier]:[SKU]],3,FALSE)</f>
        <v>DisplayPro</v>
      </c>
      <c r="H261" t="str" cm="1">
        <f t="array" ref="H261">_xlfn.XLOOKUP(Table28[[#This Row],[SKU]],Supplier_Products[[#All],[SKU]],Supplier_Products[[#All],[Supplier]])</f>
        <v>DisplayPro</v>
      </c>
    </row>
    <row r="262" spans="1:8" x14ac:dyDescent="0.3">
      <c r="A262">
        <v>1261</v>
      </c>
      <c r="B262">
        <v>546</v>
      </c>
      <c r="C262" t="s">
        <v>160</v>
      </c>
      <c r="D262" s="5">
        <v>45319</v>
      </c>
      <c r="E262" t="s">
        <v>13</v>
      </c>
      <c r="F262">
        <v>4</v>
      </c>
      <c r="G262" t="str">
        <f>VLOOKUP(Table28[[#This Row],[SKU]],Supplier_Products[[#All],[Supplier]:[SKU]],3,FALSE)</f>
        <v>SoundCo</v>
      </c>
      <c r="H262" t="str" cm="1">
        <f t="array" ref="H262">_xlfn.XLOOKUP(Table28[[#This Row],[SKU]],Supplier_Products[[#All],[SKU]],Supplier_Products[[#All],[Supplier]])</f>
        <v>SoundCo</v>
      </c>
    </row>
    <row r="263" spans="1:8" x14ac:dyDescent="0.3">
      <c r="A263">
        <v>1262</v>
      </c>
      <c r="B263">
        <v>674</v>
      </c>
      <c r="C263" t="s">
        <v>140</v>
      </c>
      <c r="D263" s="5">
        <v>45348</v>
      </c>
      <c r="E263" t="s">
        <v>187</v>
      </c>
      <c r="F263">
        <v>8</v>
      </c>
      <c r="G263" t="str">
        <f>VLOOKUP(Table28[[#This Row],[SKU]],Supplier_Products[[#All],[Supplier]:[SKU]],3,FALSE)</f>
        <v>SoundWave</v>
      </c>
      <c r="H263" t="str" cm="1">
        <f t="array" ref="H263">_xlfn.XLOOKUP(Table28[[#This Row],[SKU]],Supplier_Products[[#All],[SKU]],Supplier_Products[[#All],[Supplier]])</f>
        <v>SoundWave</v>
      </c>
    </row>
    <row r="264" spans="1:8" x14ac:dyDescent="0.3">
      <c r="A264">
        <v>1263</v>
      </c>
      <c r="B264">
        <v>662</v>
      </c>
      <c r="C264" t="s">
        <v>158</v>
      </c>
      <c r="D264" s="5">
        <v>45342</v>
      </c>
      <c r="E264" t="s">
        <v>186</v>
      </c>
      <c r="F264">
        <v>1</v>
      </c>
      <c r="G264" t="str">
        <f>VLOOKUP(Table28[[#This Row],[SKU]],Supplier_Products[[#All],[Supplier]:[SKU]],3,FALSE)</f>
        <v>ClickTech</v>
      </c>
      <c r="H264" t="str" cm="1">
        <f t="array" ref="H264">_xlfn.XLOOKUP(Table28[[#This Row],[SKU]],Supplier_Products[[#All],[SKU]],Supplier_Products[[#All],[Supplier]])</f>
        <v>ClickTech</v>
      </c>
    </row>
    <row r="265" spans="1:8" x14ac:dyDescent="0.3">
      <c r="A265">
        <v>1264</v>
      </c>
      <c r="B265">
        <v>677</v>
      </c>
      <c r="C265" t="s">
        <v>117</v>
      </c>
      <c r="D265" s="5">
        <v>45319</v>
      </c>
      <c r="E265" t="s">
        <v>190</v>
      </c>
      <c r="F265">
        <v>12</v>
      </c>
      <c r="G265" t="str">
        <f>VLOOKUP(Table28[[#This Row],[SKU]],Supplier_Products[[#All],[Supplier]:[SKU]],3,FALSE)</f>
        <v>DataSafe</v>
      </c>
      <c r="H265" t="str" cm="1">
        <f t="array" ref="H265">_xlfn.XLOOKUP(Table28[[#This Row],[SKU]],Supplier_Products[[#All],[SKU]],Supplier_Products[[#All],[Supplier]])</f>
        <v>DataSafe</v>
      </c>
    </row>
    <row r="266" spans="1:8" x14ac:dyDescent="0.3">
      <c r="A266">
        <v>1265</v>
      </c>
      <c r="B266">
        <v>735</v>
      </c>
      <c r="C266" t="s">
        <v>10</v>
      </c>
      <c r="D266" s="5">
        <v>45559</v>
      </c>
      <c r="E266" t="s">
        <v>13</v>
      </c>
      <c r="F266">
        <v>11</v>
      </c>
      <c r="G266" t="str">
        <f>VLOOKUP(Table28[[#This Row],[SKU]],Supplier_Products[[#All],[Supplier]:[SKU]],3,FALSE)</f>
        <v>TabletMakers</v>
      </c>
      <c r="H266" t="str" cm="1">
        <f t="array" ref="H266">_xlfn.XLOOKUP(Table28[[#This Row],[SKU]],Supplier_Products[[#All],[SKU]],Supplier_Products[[#All],[Supplier]])</f>
        <v>TabletMakers</v>
      </c>
    </row>
    <row r="267" spans="1:8" x14ac:dyDescent="0.3">
      <c r="A267">
        <v>1266</v>
      </c>
      <c r="B267">
        <v>582</v>
      </c>
      <c r="C267" t="s">
        <v>7</v>
      </c>
      <c r="D267" s="5">
        <v>45298</v>
      </c>
      <c r="E267" t="s">
        <v>13</v>
      </c>
      <c r="F267">
        <v>16</v>
      </c>
      <c r="G267" t="str">
        <f>VLOOKUP(Table28[[#This Row],[SKU]],Supplier_Products[[#All],[Supplier]:[SKU]],3,FALSE)</f>
        <v>SoundCo</v>
      </c>
      <c r="H267" t="str" cm="1">
        <f t="array" ref="H267">_xlfn.XLOOKUP(Table28[[#This Row],[SKU]],Supplier_Products[[#All],[SKU]],Supplier_Products[[#All],[Supplier]])</f>
        <v>SoundCo</v>
      </c>
    </row>
    <row r="268" spans="1:8" x14ac:dyDescent="0.3">
      <c r="A268">
        <v>1267</v>
      </c>
      <c r="B268">
        <v>614</v>
      </c>
      <c r="C268" t="s">
        <v>162</v>
      </c>
      <c r="D268" s="5">
        <v>45506</v>
      </c>
      <c r="E268" t="s">
        <v>189</v>
      </c>
      <c r="F268">
        <v>15</v>
      </c>
      <c r="G268" t="str">
        <f>VLOOKUP(Table28[[#This Row],[SKU]],Supplier_Products[[#All],[Supplier]:[SKU]],3,FALSE)</f>
        <v>AeroTech</v>
      </c>
      <c r="H268" t="str" cm="1">
        <f t="array" ref="H268">_xlfn.XLOOKUP(Table28[[#This Row],[SKU]],Supplier_Products[[#All],[SKU]],Supplier_Products[[#All],[Supplier]])</f>
        <v>AeroTech</v>
      </c>
    </row>
    <row r="269" spans="1:8" x14ac:dyDescent="0.3">
      <c r="A269">
        <v>1268</v>
      </c>
      <c r="B269">
        <v>518</v>
      </c>
      <c r="C269" t="s">
        <v>140</v>
      </c>
      <c r="D269" s="5">
        <v>45484</v>
      </c>
      <c r="E269" t="s">
        <v>187</v>
      </c>
      <c r="F269">
        <v>8</v>
      </c>
      <c r="G269" t="str">
        <f>VLOOKUP(Table28[[#This Row],[SKU]],Supplier_Products[[#All],[Supplier]:[SKU]],3,FALSE)</f>
        <v>SoundWave</v>
      </c>
      <c r="H269" t="str" cm="1">
        <f t="array" ref="H269">_xlfn.XLOOKUP(Table28[[#This Row],[SKU]],Supplier_Products[[#All],[SKU]],Supplier_Products[[#All],[Supplier]])</f>
        <v>SoundWave</v>
      </c>
    </row>
    <row r="270" spans="1:8" x14ac:dyDescent="0.3">
      <c r="A270">
        <v>1269</v>
      </c>
      <c r="B270">
        <v>527</v>
      </c>
      <c r="C270" t="s">
        <v>9</v>
      </c>
      <c r="D270" s="5">
        <v>45566</v>
      </c>
      <c r="E270" t="s">
        <v>14</v>
      </c>
      <c r="F270">
        <v>14</v>
      </c>
      <c r="G270" t="str">
        <f>VLOOKUP(Table28[[#This Row],[SKU]],Supplier_Products[[#All],[Supplier]:[SKU]],3,FALSE)</f>
        <v>CompuTech</v>
      </c>
      <c r="H270" t="str" cm="1">
        <f t="array" ref="H270">_xlfn.XLOOKUP(Table28[[#This Row],[SKU]],Supplier_Products[[#All],[SKU]],Supplier_Products[[#All],[Supplier]])</f>
        <v>CompuTech</v>
      </c>
    </row>
    <row r="271" spans="1:8" x14ac:dyDescent="0.3">
      <c r="A271">
        <v>1270</v>
      </c>
      <c r="B271">
        <v>593</v>
      </c>
      <c r="C271" t="s">
        <v>166</v>
      </c>
      <c r="D271" s="5">
        <v>45385</v>
      </c>
      <c r="E271" t="s">
        <v>191</v>
      </c>
      <c r="F271">
        <v>2</v>
      </c>
      <c r="G271" t="str">
        <f>VLOOKUP(Table28[[#This Row],[SKU]],Supplier_Products[[#All],[Supplier]:[SKU]],3,FALSE)</f>
        <v>BookTech</v>
      </c>
      <c r="H271" t="str" cm="1">
        <f t="array" ref="H271">_xlfn.XLOOKUP(Table28[[#This Row],[SKU]],Supplier_Products[[#All],[SKU]],Supplier_Products[[#All],[Supplier]])</f>
        <v>BookTech</v>
      </c>
    </row>
    <row r="272" spans="1:8" x14ac:dyDescent="0.3">
      <c r="A272">
        <v>1271</v>
      </c>
      <c r="B272">
        <v>527</v>
      </c>
      <c r="C272" t="s">
        <v>173</v>
      </c>
      <c r="D272" s="5">
        <v>45300</v>
      </c>
      <c r="E272" t="s">
        <v>14</v>
      </c>
      <c r="F272">
        <v>3</v>
      </c>
      <c r="G272" t="str">
        <f>VLOOKUP(Table28[[#This Row],[SKU]],Supplier_Products[[#All],[Supplier]:[SKU]],3,FALSE)</f>
        <v>SafeTech</v>
      </c>
      <c r="H272" t="str" cm="1">
        <f t="array" ref="H272">_xlfn.XLOOKUP(Table28[[#This Row],[SKU]],Supplier_Products[[#All],[SKU]],Supplier_Products[[#All],[Supplier]])</f>
        <v>SafeTech</v>
      </c>
    </row>
    <row r="273" spans="1:8" x14ac:dyDescent="0.3">
      <c r="A273">
        <v>1272</v>
      </c>
      <c r="B273">
        <v>581</v>
      </c>
      <c r="C273" t="s">
        <v>166</v>
      </c>
      <c r="D273" s="5">
        <v>45381</v>
      </c>
      <c r="E273" t="s">
        <v>191</v>
      </c>
      <c r="F273">
        <v>10</v>
      </c>
      <c r="G273" t="str">
        <f>VLOOKUP(Table28[[#This Row],[SKU]],Supplier_Products[[#All],[Supplier]:[SKU]],3,FALSE)</f>
        <v>BookTech</v>
      </c>
      <c r="H273" t="str" cm="1">
        <f t="array" ref="H273">_xlfn.XLOOKUP(Table28[[#This Row],[SKU]],Supplier_Products[[#All],[SKU]],Supplier_Products[[#All],[Supplier]])</f>
        <v>BookTech</v>
      </c>
    </row>
    <row r="274" spans="1:8" x14ac:dyDescent="0.3">
      <c r="A274">
        <v>1273</v>
      </c>
      <c r="B274">
        <v>609</v>
      </c>
      <c r="C274" t="s">
        <v>140</v>
      </c>
      <c r="D274" s="5">
        <v>45531</v>
      </c>
      <c r="E274" t="s">
        <v>187</v>
      </c>
      <c r="F274">
        <v>19</v>
      </c>
      <c r="G274" t="str">
        <f>VLOOKUP(Table28[[#This Row],[SKU]],Supplier_Products[[#All],[Supplier]:[SKU]],3,FALSE)</f>
        <v>SoundWave</v>
      </c>
      <c r="H274" t="str" cm="1">
        <f t="array" ref="H274">_xlfn.XLOOKUP(Table28[[#This Row],[SKU]],Supplier_Products[[#All],[SKU]],Supplier_Products[[#All],[Supplier]])</f>
        <v>SoundWave</v>
      </c>
    </row>
    <row r="275" spans="1:8" x14ac:dyDescent="0.3">
      <c r="A275">
        <v>1274</v>
      </c>
      <c r="B275">
        <v>530</v>
      </c>
      <c r="C275" t="s">
        <v>178</v>
      </c>
      <c r="D275" s="5">
        <v>45357</v>
      </c>
      <c r="E275" t="s">
        <v>13</v>
      </c>
      <c r="F275">
        <v>6</v>
      </c>
      <c r="G275" t="str">
        <f>VLOOKUP(Table28[[#This Row],[SKU]],Supplier_Products[[#All],[Supplier]:[SKU]],3,FALSE)</f>
        <v>DockIt</v>
      </c>
      <c r="H275" t="str" cm="1">
        <f t="array" ref="H275">_xlfn.XLOOKUP(Table28[[#This Row],[SKU]],Supplier_Products[[#All],[SKU]],Supplier_Products[[#All],[Supplier]])</f>
        <v>DockIt</v>
      </c>
    </row>
    <row r="276" spans="1:8" x14ac:dyDescent="0.3">
      <c r="A276">
        <v>1275</v>
      </c>
      <c r="B276">
        <v>637</v>
      </c>
      <c r="C276" t="s">
        <v>8</v>
      </c>
      <c r="D276" s="5">
        <v>45470</v>
      </c>
      <c r="E276" t="s">
        <v>15</v>
      </c>
      <c r="F276">
        <v>15</v>
      </c>
      <c r="G276" t="str">
        <f>VLOOKUP(Table28[[#This Row],[SKU]],Supplier_Products[[#All],[Supplier]:[SKU]],3,FALSE)</f>
        <v>Wearable Inc.</v>
      </c>
      <c r="H276" t="str" cm="1">
        <f t="array" ref="H276">_xlfn.XLOOKUP(Table28[[#This Row],[SKU]],Supplier_Products[[#All],[SKU]],Supplier_Products[[#All],[Supplier]])</f>
        <v>Wearable Inc.</v>
      </c>
    </row>
    <row r="277" spans="1:8" x14ac:dyDescent="0.3">
      <c r="A277">
        <v>1276</v>
      </c>
      <c r="B277">
        <v>702</v>
      </c>
      <c r="C277" t="s">
        <v>166</v>
      </c>
      <c r="D277" s="5">
        <v>45422</v>
      </c>
      <c r="E277" t="s">
        <v>191</v>
      </c>
      <c r="F277">
        <v>15</v>
      </c>
      <c r="G277" t="str">
        <f>VLOOKUP(Table28[[#This Row],[SKU]],Supplier_Products[[#All],[Supplier]:[SKU]],3,FALSE)</f>
        <v>BookTech</v>
      </c>
      <c r="H277" t="str" cm="1">
        <f t="array" ref="H277">_xlfn.XLOOKUP(Table28[[#This Row],[SKU]],Supplier_Products[[#All],[SKU]],Supplier_Products[[#All],[Supplier]])</f>
        <v>BookTech</v>
      </c>
    </row>
    <row r="278" spans="1:8" x14ac:dyDescent="0.3">
      <c r="A278">
        <v>1277</v>
      </c>
      <c r="B278">
        <v>532</v>
      </c>
      <c r="C278" t="s">
        <v>175</v>
      </c>
      <c r="D278" s="5">
        <v>45422</v>
      </c>
      <c r="E278" t="s">
        <v>186</v>
      </c>
      <c r="F278">
        <v>1</v>
      </c>
      <c r="G278" t="str">
        <f>VLOOKUP(Table28[[#This Row],[SKU]],Supplier_Products[[#All],[Supplier]:[SKU]],3,FALSE)</f>
        <v>DisplayPro</v>
      </c>
      <c r="H278" t="str" cm="1">
        <f t="array" ref="H278">_xlfn.XLOOKUP(Table28[[#This Row],[SKU]],Supplier_Products[[#All],[SKU]],Supplier_Products[[#All],[Supplier]])</f>
        <v>DisplayPro</v>
      </c>
    </row>
    <row r="279" spans="1:8" x14ac:dyDescent="0.3">
      <c r="A279">
        <v>1278</v>
      </c>
      <c r="B279">
        <v>573</v>
      </c>
      <c r="C279" t="s">
        <v>175</v>
      </c>
      <c r="D279" s="5">
        <v>45479</v>
      </c>
      <c r="E279" t="s">
        <v>186</v>
      </c>
      <c r="F279">
        <v>4</v>
      </c>
      <c r="G279" t="str">
        <f>VLOOKUP(Table28[[#This Row],[SKU]],Supplier_Products[[#All],[Supplier]:[SKU]],3,FALSE)</f>
        <v>DisplayPro</v>
      </c>
      <c r="H279" t="str" cm="1">
        <f t="array" ref="H279">_xlfn.XLOOKUP(Table28[[#This Row],[SKU]],Supplier_Products[[#All],[SKU]],Supplier_Products[[#All],[Supplier]])</f>
        <v>DisplayPro</v>
      </c>
    </row>
    <row r="280" spans="1:8" x14ac:dyDescent="0.3">
      <c r="A280">
        <v>1279</v>
      </c>
      <c r="B280">
        <v>716</v>
      </c>
      <c r="C280" t="s">
        <v>184</v>
      </c>
      <c r="D280" s="5">
        <v>45591</v>
      </c>
      <c r="E280" t="s">
        <v>189</v>
      </c>
      <c r="F280">
        <v>7</v>
      </c>
      <c r="G280" t="str">
        <f>VLOOKUP(Table28[[#This Row],[SKU]],Supplier_Products[[#All],[Supplier]:[SKU]],3,FALSE)</f>
        <v>VisionTech</v>
      </c>
      <c r="H280" t="str" cm="1">
        <f t="array" ref="H280">_xlfn.XLOOKUP(Table28[[#This Row],[SKU]],Supplier_Products[[#All],[SKU]],Supplier_Products[[#All],[Supplier]])</f>
        <v>VisionTech</v>
      </c>
    </row>
    <row r="281" spans="1:8" x14ac:dyDescent="0.3">
      <c r="A281">
        <v>1280</v>
      </c>
      <c r="B281">
        <v>701</v>
      </c>
      <c r="C281" t="s">
        <v>175</v>
      </c>
      <c r="D281" s="5">
        <v>45346</v>
      </c>
      <c r="E281" t="s">
        <v>186</v>
      </c>
      <c r="F281">
        <v>12</v>
      </c>
      <c r="G281" t="str">
        <f>VLOOKUP(Table28[[#This Row],[SKU]],Supplier_Products[[#All],[Supplier]:[SKU]],3,FALSE)</f>
        <v>DisplayPro</v>
      </c>
      <c r="H281" t="str" cm="1">
        <f t="array" ref="H281">_xlfn.XLOOKUP(Table28[[#This Row],[SKU]],Supplier_Products[[#All],[SKU]],Supplier_Products[[#All],[Supplier]])</f>
        <v>DisplayPro</v>
      </c>
    </row>
    <row r="282" spans="1:8" x14ac:dyDescent="0.3">
      <c r="A282">
        <v>1281</v>
      </c>
      <c r="B282">
        <v>603</v>
      </c>
      <c r="C282" t="s">
        <v>137</v>
      </c>
      <c r="D282" s="5">
        <v>45330</v>
      </c>
      <c r="E282" t="s">
        <v>188</v>
      </c>
      <c r="F282">
        <v>3</v>
      </c>
      <c r="G282" t="str">
        <f>VLOOKUP(Table28[[#This Row],[SKU]],Supplier_Products[[#All],[Supplier]:[SKU]],3,FALSE)</f>
        <v>CleanBot</v>
      </c>
      <c r="H282" t="str" cm="1">
        <f t="array" ref="H282">_xlfn.XLOOKUP(Table28[[#This Row],[SKU]],Supplier_Products[[#All],[SKU]],Supplier_Products[[#All],[Supplier]])</f>
        <v>CleanBot</v>
      </c>
    </row>
    <row r="283" spans="1:8" x14ac:dyDescent="0.3">
      <c r="A283">
        <v>1282</v>
      </c>
      <c r="B283">
        <v>614</v>
      </c>
      <c r="C283" t="s">
        <v>160</v>
      </c>
      <c r="D283" s="5">
        <v>45409</v>
      </c>
      <c r="E283" t="s">
        <v>13</v>
      </c>
      <c r="F283">
        <v>11</v>
      </c>
      <c r="G283" t="str">
        <f>VLOOKUP(Table28[[#This Row],[SKU]],Supplier_Products[[#All],[Supplier]:[SKU]],3,FALSE)</f>
        <v>SoundCo</v>
      </c>
      <c r="H283" t="str" cm="1">
        <f t="array" ref="H283">_xlfn.XLOOKUP(Table28[[#This Row],[SKU]],Supplier_Products[[#All],[SKU]],Supplier_Products[[#All],[Supplier]])</f>
        <v>SoundCo</v>
      </c>
    </row>
    <row r="284" spans="1:8" x14ac:dyDescent="0.3">
      <c r="A284">
        <v>1283</v>
      </c>
      <c r="B284">
        <v>566</v>
      </c>
      <c r="C284" t="s">
        <v>173</v>
      </c>
      <c r="D284" s="5">
        <v>45393</v>
      </c>
      <c r="E284" t="s">
        <v>14</v>
      </c>
      <c r="F284">
        <v>4</v>
      </c>
      <c r="G284" t="str">
        <f>VLOOKUP(Table28[[#This Row],[SKU]],Supplier_Products[[#All],[Supplier]:[SKU]],3,FALSE)</f>
        <v>SafeTech</v>
      </c>
      <c r="H284" t="str" cm="1">
        <f t="array" ref="H284">_xlfn.XLOOKUP(Table28[[#This Row],[SKU]],Supplier_Products[[#All],[SKU]],Supplier_Products[[#All],[Supplier]])</f>
        <v>SafeTech</v>
      </c>
    </row>
    <row r="285" spans="1:8" x14ac:dyDescent="0.3">
      <c r="A285">
        <v>1284</v>
      </c>
      <c r="B285">
        <v>507</v>
      </c>
      <c r="C285" t="s">
        <v>126</v>
      </c>
      <c r="D285" s="5">
        <v>45543</v>
      </c>
      <c r="E285" t="s">
        <v>191</v>
      </c>
      <c r="F285">
        <v>20</v>
      </c>
      <c r="G285" t="str">
        <f>VLOOKUP(Table28[[#This Row],[SKU]],Supplier_Products[[#All],[Supplier]:[SKU]],3,FALSE)</f>
        <v>FitTech</v>
      </c>
      <c r="H285" t="str" cm="1">
        <f t="array" ref="H285">_xlfn.XLOOKUP(Table28[[#This Row],[SKU]],Supplier_Products[[#All],[SKU]],Supplier_Products[[#All],[Supplier]])</f>
        <v>FitTech</v>
      </c>
    </row>
    <row r="286" spans="1:8" x14ac:dyDescent="0.3">
      <c r="A286">
        <v>1285</v>
      </c>
      <c r="B286">
        <v>538</v>
      </c>
      <c r="C286" t="s">
        <v>10</v>
      </c>
      <c r="D286" s="5">
        <v>45486</v>
      </c>
      <c r="E286" t="s">
        <v>13</v>
      </c>
      <c r="F286">
        <v>10</v>
      </c>
      <c r="G286" t="str">
        <f>VLOOKUP(Table28[[#This Row],[SKU]],Supplier_Products[[#All],[Supplier]:[SKU]],3,FALSE)</f>
        <v>TabletMakers</v>
      </c>
      <c r="H286" t="str" cm="1">
        <f t="array" ref="H286">_xlfn.XLOOKUP(Table28[[#This Row],[SKU]],Supplier_Products[[#All],[SKU]],Supplier_Products[[#All],[Supplier]])</f>
        <v>TabletMakers</v>
      </c>
    </row>
    <row r="287" spans="1:8" x14ac:dyDescent="0.3">
      <c r="A287">
        <v>1286</v>
      </c>
      <c r="B287">
        <v>660</v>
      </c>
      <c r="C287" t="s">
        <v>129</v>
      </c>
      <c r="D287" s="5">
        <v>45353</v>
      </c>
      <c r="E287" t="s">
        <v>12</v>
      </c>
      <c r="F287">
        <v>13</v>
      </c>
      <c r="G287" t="str">
        <f>VLOOKUP(Table28[[#This Row],[SKU]],Supplier_Products[[#All],[Supplier]:[SKU]],3,FALSE)</f>
        <v>StreamIt</v>
      </c>
      <c r="H287" t="str" cm="1">
        <f t="array" ref="H287">_xlfn.XLOOKUP(Table28[[#This Row],[SKU]],Supplier_Products[[#All],[SKU]],Supplier_Products[[#All],[Supplier]])</f>
        <v>StreamIt</v>
      </c>
    </row>
    <row r="288" spans="1:8" x14ac:dyDescent="0.3">
      <c r="A288">
        <v>1287</v>
      </c>
      <c r="B288">
        <v>719</v>
      </c>
      <c r="C288" t="s">
        <v>8</v>
      </c>
      <c r="D288" s="5">
        <v>45448</v>
      </c>
      <c r="E288" t="s">
        <v>15</v>
      </c>
      <c r="F288">
        <v>6</v>
      </c>
      <c r="G288" t="str">
        <f>VLOOKUP(Table28[[#This Row],[SKU]],Supplier_Products[[#All],[Supplier]:[SKU]],3,FALSE)</f>
        <v>Wearable Inc.</v>
      </c>
      <c r="H288" t="str" cm="1">
        <f t="array" ref="H288">_xlfn.XLOOKUP(Table28[[#This Row],[SKU]],Supplier_Products[[#All],[SKU]],Supplier_Products[[#All],[Supplier]])</f>
        <v>Wearable Inc.</v>
      </c>
    </row>
    <row r="289" spans="1:8" x14ac:dyDescent="0.3">
      <c r="A289">
        <v>1288</v>
      </c>
      <c r="B289">
        <v>728</v>
      </c>
      <c r="C289" t="s">
        <v>156</v>
      </c>
      <c r="D289" s="5">
        <v>45295</v>
      </c>
      <c r="E289" t="s">
        <v>186</v>
      </c>
      <c r="F289">
        <v>17</v>
      </c>
      <c r="G289" t="str">
        <f>VLOOKUP(Table28[[#This Row],[SKU]],Supplier_Products[[#All],[Supplier]:[SKU]],3,FALSE)</f>
        <v>ClickTech</v>
      </c>
      <c r="H289" t="str" cm="1">
        <f t="array" ref="H289">_xlfn.XLOOKUP(Table28[[#This Row],[SKU]],Supplier_Products[[#All],[SKU]],Supplier_Products[[#All],[Supplier]])</f>
        <v>ClickTech</v>
      </c>
    </row>
    <row r="290" spans="1:8" x14ac:dyDescent="0.3">
      <c r="A290">
        <v>1289</v>
      </c>
      <c r="B290">
        <v>679</v>
      </c>
      <c r="C290" t="s">
        <v>158</v>
      </c>
      <c r="D290" s="5">
        <v>45437</v>
      </c>
      <c r="E290" t="s">
        <v>186</v>
      </c>
      <c r="F290">
        <v>10</v>
      </c>
      <c r="G290" t="str">
        <f>VLOOKUP(Table28[[#This Row],[SKU]],Supplier_Products[[#All],[Supplier]:[SKU]],3,FALSE)</f>
        <v>ClickTech</v>
      </c>
      <c r="H290" t="str" cm="1">
        <f t="array" ref="H290">_xlfn.XLOOKUP(Table28[[#This Row],[SKU]],Supplier_Products[[#All],[SKU]],Supplier_Products[[#All],[Supplier]])</f>
        <v>ClickTech</v>
      </c>
    </row>
    <row r="291" spans="1:8" x14ac:dyDescent="0.3">
      <c r="A291">
        <v>1290</v>
      </c>
      <c r="B291">
        <v>739</v>
      </c>
      <c r="C291" t="s">
        <v>162</v>
      </c>
      <c r="D291" s="5">
        <v>45655</v>
      </c>
      <c r="E291" t="s">
        <v>189</v>
      </c>
      <c r="F291">
        <v>16</v>
      </c>
      <c r="G291" t="str">
        <f>VLOOKUP(Table28[[#This Row],[SKU]],Supplier_Products[[#All],[Supplier]:[SKU]],3,FALSE)</f>
        <v>AeroTech</v>
      </c>
      <c r="H291" t="str" cm="1">
        <f t="array" ref="H291">_xlfn.XLOOKUP(Table28[[#This Row],[SKU]],Supplier_Products[[#All],[SKU]],Supplier_Products[[#All],[Supplier]])</f>
        <v>AeroTech</v>
      </c>
    </row>
    <row r="292" spans="1:8" x14ac:dyDescent="0.3">
      <c r="A292">
        <v>1291</v>
      </c>
      <c r="B292">
        <v>620</v>
      </c>
      <c r="C292" t="s">
        <v>123</v>
      </c>
      <c r="D292" s="5">
        <v>45409</v>
      </c>
      <c r="E292" t="s">
        <v>189</v>
      </c>
      <c r="F292">
        <v>6</v>
      </c>
      <c r="G292" t="str">
        <f>VLOOKUP(Table28[[#This Row],[SKU]],Supplier_Products[[#All],[Supplier]:[SKU]],3,FALSE)</f>
        <v>VRWorld</v>
      </c>
      <c r="H292" t="str" cm="1">
        <f t="array" ref="H292">_xlfn.XLOOKUP(Table28[[#This Row],[SKU]],Supplier_Products[[#All],[SKU]],Supplier_Products[[#All],[Supplier]])</f>
        <v>VRWorld</v>
      </c>
    </row>
    <row r="293" spans="1:8" x14ac:dyDescent="0.3">
      <c r="A293">
        <v>1292</v>
      </c>
      <c r="B293">
        <v>733</v>
      </c>
      <c r="C293" t="s">
        <v>7</v>
      </c>
      <c r="D293" s="5">
        <v>45564</v>
      </c>
      <c r="E293" t="s">
        <v>13</v>
      </c>
      <c r="F293">
        <v>6</v>
      </c>
      <c r="G293" t="str">
        <f>VLOOKUP(Table28[[#This Row],[SKU]],Supplier_Products[[#All],[Supplier]:[SKU]],3,FALSE)</f>
        <v>SoundCo</v>
      </c>
      <c r="H293" t="str" cm="1">
        <f t="array" ref="H293">_xlfn.XLOOKUP(Table28[[#This Row],[SKU]],Supplier_Products[[#All],[SKU]],Supplier_Products[[#All],[Supplier]])</f>
        <v>SoundCo</v>
      </c>
    </row>
    <row r="294" spans="1:8" x14ac:dyDescent="0.3">
      <c r="A294">
        <v>1293</v>
      </c>
      <c r="B294">
        <v>580</v>
      </c>
      <c r="C294" t="s">
        <v>160</v>
      </c>
      <c r="D294" s="5">
        <v>45610</v>
      </c>
      <c r="E294" t="s">
        <v>13</v>
      </c>
      <c r="F294">
        <v>15</v>
      </c>
      <c r="G294" t="str">
        <f>VLOOKUP(Table28[[#This Row],[SKU]],Supplier_Products[[#All],[Supplier]:[SKU]],3,FALSE)</f>
        <v>SoundCo</v>
      </c>
      <c r="H294" t="str" cm="1">
        <f t="array" ref="H294">_xlfn.XLOOKUP(Table28[[#This Row],[SKU]],Supplier_Products[[#All],[SKU]],Supplier_Products[[#All],[Supplier]])</f>
        <v>SoundCo</v>
      </c>
    </row>
    <row r="295" spans="1:8" x14ac:dyDescent="0.3">
      <c r="A295">
        <v>1294</v>
      </c>
      <c r="B295">
        <v>677</v>
      </c>
      <c r="C295" t="s">
        <v>175</v>
      </c>
      <c r="D295" s="5">
        <v>45429</v>
      </c>
      <c r="E295" t="s">
        <v>186</v>
      </c>
      <c r="F295">
        <v>12</v>
      </c>
      <c r="G295" t="str">
        <f>VLOOKUP(Table28[[#This Row],[SKU]],Supplier_Products[[#All],[Supplier]:[SKU]],3,FALSE)</f>
        <v>DisplayPro</v>
      </c>
      <c r="H295" t="str" cm="1">
        <f t="array" ref="H295">_xlfn.XLOOKUP(Table28[[#This Row],[SKU]],Supplier_Products[[#All],[SKU]],Supplier_Products[[#All],[Supplier]])</f>
        <v>DisplayPro</v>
      </c>
    </row>
    <row r="296" spans="1:8" x14ac:dyDescent="0.3">
      <c r="A296">
        <v>1295</v>
      </c>
      <c r="B296">
        <v>704</v>
      </c>
      <c r="C296" t="s">
        <v>10</v>
      </c>
      <c r="D296" s="5">
        <v>45430</v>
      </c>
      <c r="E296" t="s">
        <v>13</v>
      </c>
      <c r="F296">
        <v>15</v>
      </c>
      <c r="G296" t="str">
        <f>VLOOKUP(Table28[[#This Row],[SKU]],Supplier_Products[[#All],[Supplier]:[SKU]],3,FALSE)</f>
        <v>TabletMakers</v>
      </c>
      <c r="H296" t="str" cm="1">
        <f t="array" ref="H296">_xlfn.XLOOKUP(Table28[[#This Row],[SKU]],Supplier_Products[[#All],[SKU]],Supplier_Products[[#All],[Supplier]])</f>
        <v>TabletMakers</v>
      </c>
    </row>
    <row r="297" spans="1:8" x14ac:dyDescent="0.3">
      <c r="A297">
        <v>1296</v>
      </c>
      <c r="B297">
        <v>632</v>
      </c>
      <c r="C297" t="s">
        <v>9</v>
      </c>
      <c r="D297" s="5">
        <v>45461</v>
      </c>
      <c r="E297" t="s">
        <v>14</v>
      </c>
      <c r="F297">
        <v>12</v>
      </c>
      <c r="G297" t="str">
        <f>VLOOKUP(Table28[[#This Row],[SKU]],Supplier_Products[[#All],[Supplier]:[SKU]],3,FALSE)</f>
        <v>CompuTech</v>
      </c>
      <c r="H297" t="str" cm="1">
        <f t="array" ref="H297">_xlfn.XLOOKUP(Table28[[#This Row],[SKU]],Supplier_Products[[#All],[SKU]],Supplier_Products[[#All],[Supplier]])</f>
        <v>CompuTech</v>
      </c>
    </row>
    <row r="298" spans="1:8" x14ac:dyDescent="0.3">
      <c r="A298">
        <v>1297</v>
      </c>
      <c r="B298">
        <v>660</v>
      </c>
      <c r="C298" t="s">
        <v>178</v>
      </c>
      <c r="D298" s="5">
        <v>45485</v>
      </c>
      <c r="E298" t="s">
        <v>13</v>
      </c>
      <c r="F298">
        <v>11</v>
      </c>
      <c r="G298" t="str">
        <f>VLOOKUP(Table28[[#This Row],[SKU]],Supplier_Products[[#All],[Supplier]:[SKU]],3,FALSE)</f>
        <v>DockIt</v>
      </c>
      <c r="H298" t="str" cm="1">
        <f t="array" ref="H298">_xlfn.XLOOKUP(Table28[[#This Row],[SKU]],Supplier_Products[[#All],[SKU]],Supplier_Products[[#All],[Supplier]])</f>
        <v>DockIt</v>
      </c>
    </row>
    <row r="299" spans="1:8" x14ac:dyDescent="0.3">
      <c r="A299">
        <v>1298</v>
      </c>
      <c r="B299">
        <v>541</v>
      </c>
      <c r="C299" t="s">
        <v>123</v>
      </c>
      <c r="D299" s="5">
        <v>45409</v>
      </c>
      <c r="E299" t="s">
        <v>189</v>
      </c>
      <c r="F299">
        <v>1</v>
      </c>
      <c r="G299" t="str">
        <f>VLOOKUP(Table28[[#This Row],[SKU]],Supplier_Products[[#All],[Supplier]:[SKU]],3,FALSE)</f>
        <v>VRWorld</v>
      </c>
      <c r="H299" t="str" cm="1">
        <f t="array" ref="H299">_xlfn.XLOOKUP(Table28[[#This Row],[SKU]],Supplier_Products[[#All],[SKU]],Supplier_Products[[#All],[Supplier]])</f>
        <v>VRWorld</v>
      </c>
    </row>
    <row r="300" spans="1:8" x14ac:dyDescent="0.3">
      <c r="A300">
        <v>1299</v>
      </c>
      <c r="B300">
        <v>590</v>
      </c>
      <c r="C300" t="s">
        <v>129</v>
      </c>
      <c r="D300" s="5">
        <v>45461</v>
      </c>
      <c r="E300" t="s">
        <v>12</v>
      </c>
      <c r="F300">
        <v>3</v>
      </c>
      <c r="G300" t="str">
        <f>VLOOKUP(Table28[[#This Row],[SKU]],Supplier_Products[[#All],[Supplier]:[SKU]],3,FALSE)</f>
        <v>StreamIt</v>
      </c>
      <c r="H300" t="str" cm="1">
        <f t="array" ref="H300">_xlfn.XLOOKUP(Table28[[#This Row],[SKU]],Supplier_Products[[#All],[SKU]],Supplier_Products[[#All],[Supplier]])</f>
        <v>StreamIt</v>
      </c>
    </row>
    <row r="301" spans="1:8" x14ac:dyDescent="0.3">
      <c r="A301">
        <v>1300</v>
      </c>
      <c r="B301">
        <v>624</v>
      </c>
      <c r="C301" t="s">
        <v>126</v>
      </c>
      <c r="D301" s="5">
        <v>45343</v>
      </c>
      <c r="E301" t="s">
        <v>191</v>
      </c>
      <c r="F301">
        <v>2</v>
      </c>
      <c r="G301" t="str">
        <f>VLOOKUP(Table28[[#This Row],[SKU]],Supplier_Products[[#All],[Supplier]:[SKU]],3,FALSE)</f>
        <v>FitTech</v>
      </c>
      <c r="H301" t="str" cm="1">
        <f t="array" ref="H301">_xlfn.XLOOKUP(Table28[[#This Row],[SKU]],Supplier_Products[[#All],[SKU]],Supplier_Products[[#All],[Supplier]])</f>
        <v>FitTech</v>
      </c>
    </row>
    <row r="302" spans="1:8" x14ac:dyDescent="0.3">
      <c r="A302">
        <v>1301</v>
      </c>
      <c r="B302">
        <v>574</v>
      </c>
      <c r="C302" t="s">
        <v>148</v>
      </c>
      <c r="D302" s="5">
        <v>45515</v>
      </c>
      <c r="E302" t="s">
        <v>12</v>
      </c>
      <c r="F302">
        <v>3</v>
      </c>
      <c r="G302" t="str">
        <f>VLOOKUP(Table28[[#This Row],[SKU]],Supplier_Products[[#All],[Supplier]:[SKU]],3,FALSE)</f>
        <v>ChargePro</v>
      </c>
      <c r="H302" t="str" cm="1">
        <f t="array" ref="H302">_xlfn.XLOOKUP(Table28[[#This Row],[SKU]],Supplier_Products[[#All],[SKU]],Supplier_Products[[#All],[Supplier]])</f>
        <v>ChargePro</v>
      </c>
    </row>
    <row r="303" spans="1:8" x14ac:dyDescent="0.3">
      <c r="A303">
        <v>1302</v>
      </c>
      <c r="B303">
        <v>599</v>
      </c>
      <c r="C303" t="s">
        <v>11</v>
      </c>
      <c r="D303" s="5">
        <v>45545</v>
      </c>
      <c r="E303" t="s">
        <v>12</v>
      </c>
      <c r="F303">
        <v>7</v>
      </c>
      <c r="G303" t="str">
        <f>VLOOKUP(Table28[[#This Row],[SKU]],Supplier_Products[[#All],[Supplier]:[SKU]],3,FALSE)</f>
        <v>ChargePro</v>
      </c>
      <c r="H303" t="str" cm="1">
        <f t="array" ref="H303">_xlfn.XLOOKUP(Table28[[#This Row],[SKU]],Supplier_Products[[#All],[SKU]],Supplier_Products[[#All],[Supplier]])</f>
        <v>ChargePro</v>
      </c>
    </row>
    <row r="304" spans="1:8" x14ac:dyDescent="0.3">
      <c r="A304">
        <v>1303</v>
      </c>
      <c r="B304">
        <v>660</v>
      </c>
      <c r="C304" t="s">
        <v>175</v>
      </c>
      <c r="D304" s="5">
        <v>45384</v>
      </c>
      <c r="E304" t="s">
        <v>186</v>
      </c>
      <c r="F304">
        <v>7</v>
      </c>
      <c r="G304" t="str">
        <f>VLOOKUP(Table28[[#This Row],[SKU]],Supplier_Products[[#All],[Supplier]:[SKU]],3,FALSE)</f>
        <v>DisplayPro</v>
      </c>
      <c r="H304" t="str" cm="1">
        <f t="array" ref="H304">_xlfn.XLOOKUP(Table28[[#This Row],[SKU]],Supplier_Products[[#All],[SKU]],Supplier_Products[[#All],[Supplier]])</f>
        <v>DisplayPro</v>
      </c>
    </row>
    <row r="305" spans="1:8" x14ac:dyDescent="0.3">
      <c r="A305">
        <v>1304</v>
      </c>
      <c r="B305">
        <v>601</v>
      </c>
      <c r="C305" t="s">
        <v>178</v>
      </c>
      <c r="D305" s="5">
        <v>45482</v>
      </c>
      <c r="E305" t="s">
        <v>13</v>
      </c>
      <c r="F305">
        <v>15</v>
      </c>
      <c r="G305" t="str">
        <f>VLOOKUP(Table28[[#This Row],[SKU]],Supplier_Products[[#All],[Supplier]:[SKU]],3,FALSE)</f>
        <v>DockIt</v>
      </c>
      <c r="H305" t="str" cm="1">
        <f t="array" ref="H305">_xlfn.XLOOKUP(Table28[[#This Row],[SKU]],Supplier_Products[[#All],[SKU]],Supplier_Products[[#All],[Supplier]])</f>
        <v>DockIt</v>
      </c>
    </row>
    <row r="306" spans="1:8" x14ac:dyDescent="0.3">
      <c r="A306">
        <v>1305</v>
      </c>
      <c r="B306">
        <v>687</v>
      </c>
      <c r="C306" t="s">
        <v>156</v>
      </c>
      <c r="D306" s="5">
        <v>45323</v>
      </c>
      <c r="E306" t="s">
        <v>186</v>
      </c>
      <c r="F306">
        <v>10</v>
      </c>
      <c r="G306" t="str">
        <f>VLOOKUP(Table28[[#This Row],[SKU]],Supplier_Products[[#All],[Supplier]:[SKU]],3,FALSE)</f>
        <v>ClickTech</v>
      </c>
      <c r="H306" t="str" cm="1">
        <f t="array" ref="H306">_xlfn.XLOOKUP(Table28[[#This Row],[SKU]],Supplier_Products[[#All],[SKU]],Supplier_Products[[#All],[Supplier]])</f>
        <v>ClickTech</v>
      </c>
    </row>
    <row r="307" spans="1:8" x14ac:dyDescent="0.3">
      <c r="A307">
        <v>1306</v>
      </c>
      <c r="B307">
        <v>732</v>
      </c>
      <c r="C307" t="s">
        <v>6</v>
      </c>
      <c r="D307" s="5">
        <v>45618</v>
      </c>
      <c r="E307" t="s">
        <v>12</v>
      </c>
      <c r="F307">
        <v>12</v>
      </c>
      <c r="G307" t="str">
        <f>VLOOKUP(Table28[[#This Row],[SKU]],Supplier_Products[[#All],[Supplier]:[SKU]],3,FALSE)</f>
        <v>TechCorp</v>
      </c>
      <c r="H307" t="str" cm="1">
        <f t="array" ref="H307">_xlfn.XLOOKUP(Table28[[#This Row],[SKU]],Supplier_Products[[#All],[SKU]],Supplier_Products[[#All],[Supplier]])</f>
        <v>TechCorp</v>
      </c>
    </row>
    <row r="308" spans="1:8" x14ac:dyDescent="0.3">
      <c r="A308">
        <v>1307</v>
      </c>
      <c r="B308">
        <v>730</v>
      </c>
      <c r="C308" t="s">
        <v>9</v>
      </c>
      <c r="D308" s="5">
        <v>45526</v>
      </c>
      <c r="E308" t="s">
        <v>14</v>
      </c>
      <c r="F308">
        <v>14</v>
      </c>
      <c r="G308" t="str">
        <f>VLOOKUP(Table28[[#This Row],[SKU]],Supplier_Products[[#All],[Supplier]:[SKU]],3,FALSE)</f>
        <v>CompuTech</v>
      </c>
      <c r="H308" t="str" cm="1">
        <f t="array" ref="H308">_xlfn.XLOOKUP(Table28[[#This Row],[SKU]],Supplier_Products[[#All],[SKU]],Supplier_Products[[#All],[Supplier]])</f>
        <v>CompuTech</v>
      </c>
    </row>
    <row r="309" spans="1:8" x14ac:dyDescent="0.3">
      <c r="A309">
        <v>1308</v>
      </c>
      <c r="B309">
        <v>708</v>
      </c>
      <c r="C309" t="s">
        <v>8</v>
      </c>
      <c r="D309" s="5">
        <v>45650</v>
      </c>
      <c r="E309" t="s">
        <v>15</v>
      </c>
      <c r="F309">
        <v>4</v>
      </c>
      <c r="G309" t="str">
        <f>VLOOKUP(Table28[[#This Row],[SKU]],Supplier_Products[[#All],[Supplier]:[SKU]],3,FALSE)</f>
        <v>Wearable Inc.</v>
      </c>
      <c r="H309" t="str" cm="1">
        <f t="array" ref="H309">_xlfn.XLOOKUP(Table28[[#This Row],[SKU]],Supplier_Products[[#All],[SKU]],Supplier_Products[[#All],[Supplier]])</f>
        <v>Wearable Inc.</v>
      </c>
    </row>
    <row r="310" spans="1:8" x14ac:dyDescent="0.3">
      <c r="A310">
        <v>1309</v>
      </c>
      <c r="B310">
        <v>544</v>
      </c>
      <c r="C310" t="s">
        <v>7</v>
      </c>
      <c r="D310" s="5">
        <v>45395</v>
      </c>
      <c r="E310" t="s">
        <v>13</v>
      </c>
      <c r="F310">
        <v>1</v>
      </c>
      <c r="G310" t="str">
        <f>VLOOKUP(Table28[[#This Row],[SKU]],Supplier_Products[[#All],[Supplier]:[SKU]],3,FALSE)</f>
        <v>SoundCo</v>
      </c>
      <c r="H310" t="str" cm="1">
        <f t="array" ref="H310">_xlfn.XLOOKUP(Table28[[#This Row],[SKU]],Supplier_Products[[#All],[SKU]],Supplier_Products[[#All],[Supplier]])</f>
        <v>SoundCo</v>
      </c>
    </row>
    <row r="311" spans="1:8" x14ac:dyDescent="0.3">
      <c r="A311">
        <v>1310</v>
      </c>
      <c r="B311">
        <v>676</v>
      </c>
      <c r="C311" t="s">
        <v>148</v>
      </c>
      <c r="D311" s="5">
        <v>45344</v>
      </c>
      <c r="E311" t="s">
        <v>12</v>
      </c>
      <c r="F311">
        <v>15</v>
      </c>
      <c r="G311" t="str">
        <f>VLOOKUP(Table28[[#This Row],[SKU]],Supplier_Products[[#All],[Supplier]:[SKU]],3,FALSE)</f>
        <v>ChargePro</v>
      </c>
      <c r="H311" t="str" cm="1">
        <f t="array" ref="H311">_xlfn.XLOOKUP(Table28[[#This Row],[SKU]],Supplier_Products[[#All],[SKU]],Supplier_Products[[#All],[Supplier]])</f>
        <v>ChargePro</v>
      </c>
    </row>
    <row r="312" spans="1:8" x14ac:dyDescent="0.3">
      <c r="A312">
        <v>1311</v>
      </c>
      <c r="B312">
        <v>532</v>
      </c>
      <c r="C312" t="s">
        <v>9</v>
      </c>
      <c r="D312" s="5">
        <v>45478</v>
      </c>
      <c r="E312" t="s">
        <v>14</v>
      </c>
      <c r="F312">
        <v>11</v>
      </c>
      <c r="G312" t="str">
        <f>VLOOKUP(Table28[[#This Row],[SKU]],Supplier_Products[[#All],[Supplier]:[SKU]],3,FALSE)</f>
        <v>CompuTech</v>
      </c>
      <c r="H312" t="str" cm="1">
        <f t="array" ref="H312">_xlfn.XLOOKUP(Table28[[#This Row],[SKU]],Supplier_Products[[#All],[SKU]],Supplier_Products[[#All],[Supplier]])</f>
        <v>CompuTech</v>
      </c>
    </row>
    <row r="313" spans="1:8" x14ac:dyDescent="0.3">
      <c r="A313">
        <v>1312</v>
      </c>
      <c r="B313">
        <v>533</v>
      </c>
      <c r="C313" t="s">
        <v>158</v>
      </c>
      <c r="D313" s="5">
        <v>45609</v>
      </c>
      <c r="E313" t="s">
        <v>186</v>
      </c>
      <c r="F313">
        <v>14</v>
      </c>
      <c r="G313" t="str">
        <f>VLOOKUP(Table28[[#This Row],[SKU]],Supplier_Products[[#All],[Supplier]:[SKU]],3,FALSE)</f>
        <v>ClickTech</v>
      </c>
      <c r="H313" t="str" cm="1">
        <f t="array" ref="H313">_xlfn.XLOOKUP(Table28[[#This Row],[SKU]],Supplier_Products[[#All],[SKU]],Supplier_Products[[#All],[Supplier]])</f>
        <v>ClickTech</v>
      </c>
    </row>
    <row r="314" spans="1:8" x14ac:dyDescent="0.3">
      <c r="A314">
        <v>1313</v>
      </c>
      <c r="B314">
        <v>697</v>
      </c>
      <c r="C314" t="s">
        <v>73</v>
      </c>
      <c r="D314" s="5">
        <v>45330</v>
      </c>
      <c r="E314" t="s">
        <v>186</v>
      </c>
      <c r="F314">
        <v>3</v>
      </c>
      <c r="G314" t="str">
        <f>VLOOKUP(Table28[[#This Row],[SKU]],Supplier_Products[[#All],[Supplier]:[SKU]],3,FALSE)</f>
        <v>ClickTech</v>
      </c>
      <c r="H314" t="str" cm="1">
        <f t="array" ref="H314">_xlfn.XLOOKUP(Table28[[#This Row],[SKU]],Supplier_Products[[#All],[SKU]],Supplier_Products[[#All],[Supplier]])</f>
        <v>ClickTech</v>
      </c>
    </row>
    <row r="315" spans="1:8" x14ac:dyDescent="0.3">
      <c r="A315">
        <v>1314</v>
      </c>
      <c r="B315">
        <v>702</v>
      </c>
      <c r="C315" t="s">
        <v>126</v>
      </c>
      <c r="D315" s="5">
        <v>45568</v>
      </c>
      <c r="E315" t="s">
        <v>191</v>
      </c>
      <c r="F315">
        <v>5</v>
      </c>
      <c r="G315" t="str">
        <f>VLOOKUP(Table28[[#This Row],[SKU]],Supplier_Products[[#All],[Supplier]:[SKU]],3,FALSE)</f>
        <v>FitTech</v>
      </c>
      <c r="H315" t="str" cm="1">
        <f t="array" ref="H315">_xlfn.XLOOKUP(Table28[[#This Row],[SKU]],Supplier_Products[[#All],[SKU]],Supplier_Products[[#All],[Supplier]])</f>
        <v>FitTech</v>
      </c>
    </row>
    <row r="316" spans="1:8" x14ac:dyDescent="0.3">
      <c r="A316">
        <v>1315</v>
      </c>
      <c r="B316">
        <v>680</v>
      </c>
      <c r="C316" t="s">
        <v>178</v>
      </c>
      <c r="D316" s="5">
        <v>45578</v>
      </c>
      <c r="E316" t="s">
        <v>13</v>
      </c>
      <c r="F316">
        <v>20</v>
      </c>
      <c r="G316" t="str">
        <f>VLOOKUP(Table28[[#This Row],[SKU]],Supplier_Products[[#All],[Supplier]:[SKU]],3,FALSE)</f>
        <v>DockIt</v>
      </c>
      <c r="H316" t="str" cm="1">
        <f t="array" ref="H316">_xlfn.XLOOKUP(Table28[[#This Row],[SKU]],Supplier_Products[[#All],[SKU]],Supplier_Products[[#All],[Supplier]])</f>
        <v>DockIt</v>
      </c>
    </row>
    <row r="317" spans="1:8" x14ac:dyDescent="0.3">
      <c r="A317">
        <v>1316</v>
      </c>
      <c r="B317">
        <v>710</v>
      </c>
      <c r="C317" t="s">
        <v>169</v>
      </c>
      <c r="D317" s="5">
        <v>45477</v>
      </c>
      <c r="E317" t="s">
        <v>14</v>
      </c>
      <c r="F317">
        <v>20</v>
      </c>
      <c r="G317" t="str">
        <f>VLOOKUP(Table28[[#This Row],[SKU]],Supplier_Products[[#All],[Supplier]:[SKU]],3,FALSE)</f>
        <v>SafeDrive</v>
      </c>
      <c r="H317" t="str" cm="1">
        <f t="array" ref="H317">_xlfn.XLOOKUP(Table28[[#This Row],[SKU]],Supplier_Products[[#All],[SKU]],Supplier_Products[[#All],[Supplier]])</f>
        <v>SafeDrive</v>
      </c>
    </row>
    <row r="318" spans="1:8" x14ac:dyDescent="0.3">
      <c r="A318">
        <v>1317</v>
      </c>
      <c r="B318">
        <v>580</v>
      </c>
      <c r="C318" t="s">
        <v>72</v>
      </c>
      <c r="D318" s="5">
        <v>45310</v>
      </c>
      <c r="E318" t="s">
        <v>187</v>
      </c>
      <c r="F318">
        <v>19</v>
      </c>
      <c r="G318" t="str">
        <f>VLOOKUP(Table28[[#This Row],[SKU]],Supplier_Products[[#All],[Supplier]:[SKU]],3,FALSE)</f>
        <v>SoundWave</v>
      </c>
      <c r="H318" t="str" cm="1">
        <f t="array" ref="H318">_xlfn.XLOOKUP(Table28[[#This Row],[SKU]],Supplier_Products[[#All],[SKU]],Supplier_Products[[#All],[Supplier]])</f>
        <v>SoundWave</v>
      </c>
    </row>
    <row r="319" spans="1:8" x14ac:dyDescent="0.3">
      <c r="A319">
        <v>1318</v>
      </c>
      <c r="B319">
        <v>543</v>
      </c>
      <c r="C319" t="s">
        <v>173</v>
      </c>
      <c r="D319" s="5">
        <v>45512</v>
      </c>
      <c r="E319" t="s">
        <v>14</v>
      </c>
      <c r="F319">
        <v>9</v>
      </c>
      <c r="G319" t="str">
        <f>VLOOKUP(Table28[[#This Row],[SKU]],Supplier_Products[[#All],[Supplier]:[SKU]],3,FALSE)</f>
        <v>SafeTech</v>
      </c>
      <c r="H319" t="str" cm="1">
        <f t="array" ref="H319">_xlfn.XLOOKUP(Table28[[#This Row],[SKU]],Supplier_Products[[#All],[SKU]],Supplier_Products[[#All],[Supplier]])</f>
        <v>SafeTech</v>
      </c>
    </row>
    <row r="320" spans="1:8" x14ac:dyDescent="0.3">
      <c r="A320">
        <v>1319</v>
      </c>
      <c r="B320">
        <v>604</v>
      </c>
      <c r="C320" t="s">
        <v>121</v>
      </c>
      <c r="D320" s="5">
        <v>45327</v>
      </c>
      <c r="E320" t="s">
        <v>186</v>
      </c>
      <c r="F320">
        <v>10</v>
      </c>
      <c r="G320" t="str">
        <f>VLOOKUP(Table28[[#This Row],[SKU]],Supplier_Products[[#All],[Supplier]:[SKU]],3,FALSE)</f>
        <v>ClickTech</v>
      </c>
      <c r="H320" t="str" cm="1">
        <f t="array" ref="H320">_xlfn.XLOOKUP(Table28[[#This Row],[SKU]],Supplier_Products[[#All],[SKU]],Supplier_Products[[#All],[Supplier]])</f>
        <v>ClickTech</v>
      </c>
    </row>
    <row r="321" spans="1:8" x14ac:dyDescent="0.3">
      <c r="A321">
        <v>1320</v>
      </c>
      <c r="B321">
        <v>533</v>
      </c>
      <c r="C321" t="s">
        <v>150</v>
      </c>
      <c r="D321" s="5">
        <v>45489</v>
      </c>
      <c r="E321" t="s">
        <v>187</v>
      </c>
      <c r="F321">
        <v>9</v>
      </c>
      <c r="G321" t="str">
        <f>VLOOKUP(Table28[[#This Row],[SKU]],Supplier_Products[[#All],[Supplier]:[SKU]],3,FALSE)</f>
        <v>ShutterPro</v>
      </c>
      <c r="H321" t="str" cm="1">
        <f t="array" ref="H321">_xlfn.XLOOKUP(Table28[[#This Row],[SKU]],Supplier_Products[[#All],[SKU]],Supplier_Products[[#All],[Supplier]])</f>
        <v>ShutterPro</v>
      </c>
    </row>
    <row r="322" spans="1:8" x14ac:dyDescent="0.3">
      <c r="A322">
        <v>1321</v>
      </c>
      <c r="B322">
        <v>542</v>
      </c>
      <c r="C322" t="s">
        <v>121</v>
      </c>
      <c r="D322" s="5">
        <v>45544</v>
      </c>
      <c r="E322" t="s">
        <v>186</v>
      </c>
      <c r="F322">
        <v>14</v>
      </c>
      <c r="G322" t="str">
        <f>VLOOKUP(Table28[[#This Row],[SKU]],Supplier_Products[[#All],[Supplier]:[SKU]],3,FALSE)</f>
        <v>ClickTech</v>
      </c>
      <c r="H322" t="str" cm="1">
        <f t="array" ref="H322">_xlfn.XLOOKUP(Table28[[#This Row],[SKU]],Supplier_Products[[#All],[SKU]],Supplier_Products[[#All],[Supplier]])</f>
        <v>ClickTech</v>
      </c>
    </row>
    <row r="323" spans="1:8" x14ac:dyDescent="0.3">
      <c r="A323">
        <v>1322</v>
      </c>
      <c r="B323">
        <v>547</v>
      </c>
      <c r="C323" t="s">
        <v>178</v>
      </c>
      <c r="D323" s="5">
        <v>45585</v>
      </c>
      <c r="E323" t="s">
        <v>13</v>
      </c>
      <c r="F323">
        <v>16</v>
      </c>
      <c r="G323" t="str">
        <f>VLOOKUP(Table28[[#This Row],[SKU]],Supplier_Products[[#All],[Supplier]:[SKU]],3,FALSE)</f>
        <v>DockIt</v>
      </c>
      <c r="H323" t="str" cm="1">
        <f t="array" ref="H323">_xlfn.XLOOKUP(Table28[[#This Row],[SKU]],Supplier_Products[[#All],[SKU]],Supplier_Products[[#All],[Supplier]])</f>
        <v>DockIt</v>
      </c>
    </row>
    <row r="324" spans="1:8" x14ac:dyDescent="0.3">
      <c r="A324">
        <v>1323</v>
      </c>
      <c r="B324">
        <v>504</v>
      </c>
      <c r="C324" t="s">
        <v>175</v>
      </c>
      <c r="D324" s="5">
        <v>45482</v>
      </c>
      <c r="E324" t="s">
        <v>186</v>
      </c>
      <c r="F324">
        <v>8</v>
      </c>
      <c r="G324" t="str">
        <f>VLOOKUP(Table28[[#This Row],[SKU]],Supplier_Products[[#All],[Supplier]:[SKU]],3,FALSE)</f>
        <v>DisplayPro</v>
      </c>
      <c r="H324" t="str" cm="1">
        <f t="array" ref="H324">_xlfn.XLOOKUP(Table28[[#This Row],[SKU]],Supplier_Products[[#All],[SKU]],Supplier_Products[[#All],[Supplier]])</f>
        <v>DisplayPro</v>
      </c>
    </row>
    <row r="325" spans="1:8" x14ac:dyDescent="0.3">
      <c r="A325">
        <v>1324</v>
      </c>
      <c r="B325">
        <v>682</v>
      </c>
      <c r="C325" t="s">
        <v>123</v>
      </c>
      <c r="D325" s="5">
        <v>45310</v>
      </c>
      <c r="E325" t="s">
        <v>189</v>
      </c>
      <c r="F325">
        <v>6</v>
      </c>
      <c r="G325" t="str">
        <f>VLOOKUP(Table28[[#This Row],[SKU]],Supplier_Products[[#All],[Supplier]:[SKU]],3,FALSE)</f>
        <v>VRWorld</v>
      </c>
      <c r="H325" t="str" cm="1">
        <f t="array" ref="H325">_xlfn.XLOOKUP(Table28[[#This Row],[SKU]],Supplier_Products[[#All],[SKU]],Supplier_Products[[#All],[Supplier]])</f>
        <v>VRWorld</v>
      </c>
    </row>
    <row r="326" spans="1:8" x14ac:dyDescent="0.3">
      <c r="A326">
        <v>1325</v>
      </c>
      <c r="B326">
        <v>650</v>
      </c>
      <c r="C326" t="s">
        <v>184</v>
      </c>
      <c r="D326" s="5">
        <v>45557</v>
      </c>
      <c r="E326" t="s">
        <v>189</v>
      </c>
      <c r="F326">
        <v>6</v>
      </c>
      <c r="G326" t="str">
        <f>VLOOKUP(Table28[[#This Row],[SKU]],Supplier_Products[[#All],[Supplier]:[SKU]],3,FALSE)</f>
        <v>VisionTech</v>
      </c>
      <c r="H326" t="str" cm="1">
        <f t="array" ref="H326">_xlfn.XLOOKUP(Table28[[#This Row],[SKU]],Supplier_Products[[#All],[SKU]],Supplier_Products[[#All],[Supplier]])</f>
        <v>VisionTech</v>
      </c>
    </row>
    <row r="327" spans="1:8" x14ac:dyDescent="0.3">
      <c r="A327">
        <v>1326</v>
      </c>
      <c r="B327">
        <v>585</v>
      </c>
      <c r="C327" t="s">
        <v>156</v>
      </c>
      <c r="D327" s="5">
        <v>45425</v>
      </c>
      <c r="E327" t="s">
        <v>186</v>
      </c>
      <c r="F327">
        <v>10</v>
      </c>
      <c r="G327" t="str">
        <f>VLOOKUP(Table28[[#This Row],[SKU]],Supplier_Products[[#All],[Supplier]:[SKU]],3,FALSE)</f>
        <v>ClickTech</v>
      </c>
      <c r="H327" t="str" cm="1">
        <f t="array" ref="H327">_xlfn.XLOOKUP(Table28[[#This Row],[SKU]],Supplier_Products[[#All],[SKU]],Supplier_Products[[#All],[Supplier]])</f>
        <v>ClickTech</v>
      </c>
    </row>
    <row r="328" spans="1:8" x14ac:dyDescent="0.3">
      <c r="A328">
        <v>1327</v>
      </c>
      <c r="B328">
        <v>679</v>
      </c>
      <c r="C328" t="s">
        <v>110</v>
      </c>
      <c r="D328" s="5">
        <v>45592</v>
      </c>
      <c r="E328" t="s">
        <v>188</v>
      </c>
      <c r="F328">
        <v>5</v>
      </c>
      <c r="G328" t="str">
        <f>VLOOKUP(Table28[[#This Row],[SKU]],Supplier_Products[[#All],[Supplier]:[SKU]],3,FALSE)</f>
        <v>PlayMax</v>
      </c>
      <c r="H328" t="str" cm="1">
        <f t="array" ref="H328">_xlfn.XLOOKUP(Table28[[#This Row],[SKU]],Supplier_Products[[#All],[SKU]],Supplier_Products[[#All],[Supplier]])</f>
        <v>PlayMax</v>
      </c>
    </row>
    <row r="329" spans="1:8" x14ac:dyDescent="0.3">
      <c r="A329">
        <v>1328</v>
      </c>
      <c r="B329">
        <v>525</v>
      </c>
      <c r="C329" t="s">
        <v>181</v>
      </c>
      <c r="D329" s="5">
        <v>45562</v>
      </c>
      <c r="E329" t="s">
        <v>12</v>
      </c>
      <c r="F329">
        <v>15</v>
      </c>
      <c r="G329" t="str">
        <f>VLOOKUP(Table28[[#This Row],[SKU]],Supplier_Products[[#All],[Supplier]:[SKU]],3,FALSE)</f>
        <v>PhotoFrame Inc.</v>
      </c>
      <c r="H329" t="str" cm="1">
        <f t="array" ref="H329">_xlfn.XLOOKUP(Table28[[#This Row],[SKU]],Supplier_Products[[#All],[SKU]],Supplier_Products[[#All],[Supplier]])</f>
        <v>PhotoFrame Inc.</v>
      </c>
    </row>
    <row r="330" spans="1:8" x14ac:dyDescent="0.3">
      <c r="A330">
        <v>1329</v>
      </c>
      <c r="B330">
        <v>680</v>
      </c>
      <c r="C330" t="s">
        <v>123</v>
      </c>
      <c r="D330" s="5">
        <v>45529</v>
      </c>
      <c r="E330" t="s">
        <v>189</v>
      </c>
      <c r="F330">
        <v>16</v>
      </c>
      <c r="G330" t="str">
        <f>VLOOKUP(Table28[[#This Row],[SKU]],Supplier_Products[[#All],[Supplier]:[SKU]],3,FALSE)</f>
        <v>VRWorld</v>
      </c>
      <c r="H330" t="str" cm="1">
        <f t="array" ref="H330">_xlfn.XLOOKUP(Table28[[#This Row],[SKU]],Supplier_Products[[#All],[SKU]],Supplier_Products[[#All],[Supplier]])</f>
        <v>VRWorld</v>
      </c>
    </row>
    <row r="331" spans="1:8" x14ac:dyDescent="0.3">
      <c r="A331">
        <v>1330</v>
      </c>
      <c r="B331">
        <v>745</v>
      </c>
      <c r="C331" t="s">
        <v>10</v>
      </c>
      <c r="D331" s="5">
        <v>45479</v>
      </c>
      <c r="E331" t="s">
        <v>13</v>
      </c>
      <c r="F331">
        <v>12</v>
      </c>
      <c r="G331" t="str">
        <f>VLOOKUP(Table28[[#This Row],[SKU]],Supplier_Products[[#All],[Supplier]:[SKU]],3,FALSE)</f>
        <v>TabletMakers</v>
      </c>
      <c r="H331" t="str" cm="1">
        <f t="array" ref="H331">_xlfn.XLOOKUP(Table28[[#This Row],[SKU]],Supplier_Products[[#All],[SKU]],Supplier_Products[[#All],[Supplier]])</f>
        <v>TabletMakers</v>
      </c>
    </row>
    <row r="332" spans="1:8" x14ac:dyDescent="0.3">
      <c r="A332">
        <v>1331</v>
      </c>
      <c r="B332">
        <v>521</v>
      </c>
      <c r="C332" t="s">
        <v>11</v>
      </c>
      <c r="D332" s="5">
        <v>45644</v>
      </c>
      <c r="E332" t="s">
        <v>12</v>
      </c>
      <c r="F332">
        <v>17</v>
      </c>
      <c r="G332" t="str">
        <f>VLOOKUP(Table28[[#This Row],[SKU]],Supplier_Products[[#All],[Supplier]:[SKU]],3,FALSE)</f>
        <v>ChargePro</v>
      </c>
      <c r="H332" t="str" cm="1">
        <f t="array" ref="H332">_xlfn.XLOOKUP(Table28[[#This Row],[SKU]],Supplier_Products[[#All],[SKU]],Supplier_Products[[#All],[Supplier]])</f>
        <v>ChargePro</v>
      </c>
    </row>
    <row r="333" spans="1:8" x14ac:dyDescent="0.3">
      <c r="A333">
        <v>1332</v>
      </c>
      <c r="B333">
        <v>643</v>
      </c>
      <c r="C333" t="s">
        <v>114</v>
      </c>
      <c r="D333" s="5">
        <v>45345</v>
      </c>
      <c r="E333" t="s">
        <v>189</v>
      </c>
      <c r="F333">
        <v>11</v>
      </c>
      <c r="G333" t="str">
        <f>VLOOKUP(Table28[[#This Row],[SKU]],Supplier_Products[[#All],[Supplier]:[SKU]],3,FALSE)</f>
        <v>VisionTech</v>
      </c>
      <c r="H333" t="str" cm="1">
        <f t="array" ref="H333">_xlfn.XLOOKUP(Table28[[#This Row],[SKU]],Supplier_Products[[#All],[SKU]],Supplier_Products[[#All],[Supplier]])</f>
        <v>VisionTech</v>
      </c>
    </row>
    <row r="334" spans="1:8" x14ac:dyDescent="0.3">
      <c r="A334">
        <v>1333</v>
      </c>
      <c r="B334">
        <v>589</v>
      </c>
      <c r="C334" t="s">
        <v>110</v>
      </c>
      <c r="D334" s="5">
        <v>45526</v>
      </c>
      <c r="E334" t="s">
        <v>188</v>
      </c>
      <c r="F334">
        <v>14</v>
      </c>
      <c r="G334" t="str">
        <f>VLOOKUP(Table28[[#This Row],[SKU]],Supplier_Products[[#All],[Supplier]:[SKU]],3,FALSE)</f>
        <v>PlayMax</v>
      </c>
      <c r="H334" t="str" cm="1">
        <f t="array" ref="H334">_xlfn.XLOOKUP(Table28[[#This Row],[SKU]],Supplier_Products[[#All],[SKU]],Supplier_Products[[#All],[Supplier]])</f>
        <v>PlayMax</v>
      </c>
    </row>
    <row r="335" spans="1:8" x14ac:dyDescent="0.3">
      <c r="A335">
        <v>1334</v>
      </c>
      <c r="B335">
        <v>715</v>
      </c>
      <c r="C335" t="s">
        <v>162</v>
      </c>
      <c r="D335" s="5">
        <v>45342</v>
      </c>
      <c r="E335" t="s">
        <v>189</v>
      </c>
      <c r="F335">
        <v>9</v>
      </c>
      <c r="G335" t="str">
        <f>VLOOKUP(Table28[[#This Row],[SKU]],Supplier_Products[[#All],[Supplier]:[SKU]],3,FALSE)</f>
        <v>AeroTech</v>
      </c>
      <c r="H335" t="str" cm="1">
        <f t="array" ref="H335">_xlfn.XLOOKUP(Table28[[#This Row],[SKU]],Supplier_Products[[#All],[SKU]],Supplier_Products[[#All],[Supplier]])</f>
        <v>AeroTech</v>
      </c>
    </row>
    <row r="336" spans="1:8" x14ac:dyDescent="0.3">
      <c r="A336">
        <v>1335</v>
      </c>
      <c r="B336">
        <v>620</v>
      </c>
      <c r="C336" t="s">
        <v>166</v>
      </c>
      <c r="D336" s="5">
        <v>45303</v>
      </c>
      <c r="E336" t="s">
        <v>191</v>
      </c>
      <c r="F336">
        <v>6</v>
      </c>
      <c r="G336" t="str">
        <f>VLOOKUP(Table28[[#This Row],[SKU]],Supplier_Products[[#All],[Supplier]:[SKU]],3,FALSE)</f>
        <v>BookTech</v>
      </c>
      <c r="H336" t="str" cm="1">
        <f t="array" ref="H336">_xlfn.XLOOKUP(Table28[[#This Row],[SKU]],Supplier_Products[[#All],[SKU]],Supplier_Products[[#All],[Supplier]])</f>
        <v>BookTech</v>
      </c>
    </row>
    <row r="337" spans="1:8" x14ac:dyDescent="0.3">
      <c r="A337">
        <v>1336</v>
      </c>
      <c r="B337">
        <v>722</v>
      </c>
      <c r="C337" t="s">
        <v>123</v>
      </c>
      <c r="D337" s="5">
        <v>45642</v>
      </c>
      <c r="E337" t="s">
        <v>189</v>
      </c>
      <c r="F337">
        <v>4</v>
      </c>
      <c r="G337" t="str">
        <f>VLOOKUP(Table28[[#This Row],[SKU]],Supplier_Products[[#All],[Supplier]:[SKU]],3,FALSE)</f>
        <v>VRWorld</v>
      </c>
      <c r="H337" t="str" cm="1">
        <f t="array" ref="H337">_xlfn.XLOOKUP(Table28[[#This Row],[SKU]],Supplier_Products[[#All],[SKU]],Supplier_Products[[#All],[Supplier]])</f>
        <v>VRWorld</v>
      </c>
    </row>
    <row r="338" spans="1:8" x14ac:dyDescent="0.3">
      <c r="A338">
        <v>1337</v>
      </c>
      <c r="B338">
        <v>700</v>
      </c>
      <c r="C338" t="s">
        <v>148</v>
      </c>
      <c r="D338" s="5">
        <v>45554</v>
      </c>
      <c r="E338" t="s">
        <v>12</v>
      </c>
      <c r="F338">
        <v>18</v>
      </c>
      <c r="G338" t="str">
        <f>VLOOKUP(Table28[[#This Row],[SKU]],Supplier_Products[[#All],[Supplier]:[SKU]],3,FALSE)</f>
        <v>ChargePro</v>
      </c>
      <c r="H338" t="str" cm="1">
        <f t="array" ref="H338">_xlfn.XLOOKUP(Table28[[#This Row],[SKU]],Supplier_Products[[#All],[SKU]],Supplier_Products[[#All],[Supplier]])</f>
        <v>ChargePro</v>
      </c>
    </row>
    <row r="339" spans="1:8" x14ac:dyDescent="0.3">
      <c r="A339">
        <v>1338</v>
      </c>
      <c r="B339">
        <v>729</v>
      </c>
      <c r="C339" t="s">
        <v>129</v>
      </c>
      <c r="D339" s="5">
        <v>45305</v>
      </c>
      <c r="E339" t="s">
        <v>12</v>
      </c>
      <c r="F339">
        <v>8</v>
      </c>
      <c r="G339" t="str">
        <f>VLOOKUP(Table28[[#This Row],[SKU]],Supplier_Products[[#All],[Supplier]:[SKU]],3,FALSE)</f>
        <v>StreamIt</v>
      </c>
      <c r="H339" t="str" cm="1">
        <f t="array" ref="H339">_xlfn.XLOOKUP(Table28[[#This Row],[SKU]],Supplier_Products[[#All],[SKU]],Supplier_Products[[#All],[Supplier]])</f>
        <v>StreamIt</v>
      </c>
    </row>
    <row r="340" spans="1:8" x14ac:dyDescent="0.3">
      <c r="A340">
        <v>1339</v>
      </c>
      <c r="B340">
        <v>704</v>
      </c>
      <c r="C340" t="s">
        <v>148</v>
      </c>
      <c r="D340" s="5">
        <v>45375</v>
      </c>
      <c r="E340" t="s">
        <v>12</v>
      </c>
      <c r="F340">
        <v>11</v>
      </c>
      <c r="G340" t="str">
        <f>VLOOKUP(Table28[[#This Row],[SKU]],Supplier_Products[[#All],[Supplier]:[SKU]],3,FALSE)</f>
        <v>ChargePro</v>
      </c>
      <c r="H340" t="str" cm="1">
        <f t="array" ref="H340">_xlfn.XLOOKUP(Table28[[#This Row],[SKU]],Supplier_Products[[#All],[SKU]],Supplier_Products[[#All],[Supplier]])</f>
        <v>ChargePro</v>
      </c>
    </row>
    <row r="341" spans="1:8" x14ac:dyDescent="0.3">
      <c r="A341">
        <v>1340</v>
      </c>
      <c r="B341">
        <v>608</v>
      </c>
      <c r="C341" t="s">
        <v>9</v>
      </c>
      <c r="D341" s="5">
        <v>45601</v>
      </c>
      <c r="E341" t="s">
        <v>14</v>
      </c>
      <c r="F341">
        <v>6</v>
      </c>
      <c r="G341" t="str">
        <f>VLOOKUP(Table28[[#This Row],[SKU]],Supplier_Products[[#All],[Supplier]:[SKU]],3,FALSE)</f>
        <v>CompuTech</v>
      </c>
      <c r="H341" t="str" cm="1">
        <f t="array" ref="H341">_xlfn.XLOOKUP(Table28[[#This Row],[SKU]],Supplier_Products[[#All],[SKU]],Supplier_Products[[#All],[Supplier]])</f>
        <v>CompuTech</v>
      </c>
    </row>
    <row r="342" spans="1:8" x14ac:dyDescent="0.3">
      <c r="A342">
        <v>1341</v>
      </c>
      <c r="B342">
        <v>696</v>
      </c>
      <c r="C342" t="s">
        <v>8</v>
      </c>
      <c r="D342" s="5">
        <v>45559</v>
      </c>
      <c r="E342" t="s">
        <v>15</v>
      </c>
      <c r="F342">
        <v>1</v>
      </c>
      <c r="G342" t="str">
        <f>VLOOKUP(Table28[[#This Row],[SKU]],Supplier_Products[[#All],[Supplier]:[SKU]],3,FALSE)</f>
        <v>Wearable Inc.</v>
      </c>
      <c r="H342" t="str" cm="1">
        <f t="array" ref="H342">_xlfn.XLOOKUP(Table28[[#This Row],[SKU]],Supplier_Products[[#All],[SKU]],Supplier_Products[[#All],[Supplier]])</f>
        <v>Wearable Inc.</v>
      </c>
    </row>
    <row r="343" spans="1:8" x14ac:dyDescent="0.3">
      <c r="A343">
        <v>1342</v>
      </c>
      <c r="B343">
        <v>701</v>
      </c>
      <c r="C343" t="s">
        <v>156</v>
      </c>
      <c r="D343" s="5">
        <v>45400</v>
      </c>
      <c r="E343" t="s">
        <v>186</v>
      </c>
      <c r="F343">
        <v>12</v>
      </c>
      <c r="G343" t="str">
        <f>VLOOKUP(Table28[[#This Row],[SKU]],Supplier_Products[[#All],[Supplier]:[SKU]],3,FALSE)</f>
        <v>ClickTech</v>
      </c>
      <c r="H343" t="str" cm="1">
        <f t="array" ref="H343">_xlfn.XLOOKUP(Table28[[#This Row],[SKU]],Supplier_Products[[#All],[SKU]],Supplier_Products[[#All],[Supplier]])</f>
        <v>ClickTech</v>
      </c>
    </row>
    <row r="344" spans="1:8" x14ac:dyDescent="0.3">
      <c r="A344">
        <v>1343</v>
      </c>
      <c r="B344">
        <v>693</v>
      </c>
      <c r="C344" t="s">
        <v>160</v>
      </c>
      <c r="D344" s="5">
        <v>45391</v>
      </c>
      <c r="E344" t="s">
        <v>13</v>
      </c>
      <c r="F344">
        <v>6</v>
      </c>
      <c r="G344" t="str">
        <f>VLOOKUP(Table28[[#This Row],[SKU]],Supplier_Products[[#All],[Supplier]:[SKU]],3,FALSE)</f>
        <v>SoundCo</v>
      </c>
      <c r="H344" t="str" cm="1">
        <f t="array" ref="H344">_xlfn.XLOOKUP(Table28[[#This Row],[SKU]],Supplier_Products[[#All],[SKU]],Supplier_Products[[#All],[Supplier]])</f>
        <v>SoundCo</v>
      </c>
    </row>
    <row r="345" spans="1:8" x14ac:dyDescent="0.3">
      <c r="A345">
        <v>1344</v>
      </c>
      <c r="B345">
        <v>501</v>
      </c>
      <c r="C345" t="s">
        <v>156</v>
      </c>
      <c r="D345" s="5">
        <v>45376</v>
      </c>
      <c r="E345" t="s">
        <v>186</v>
      </c>
      <c r="F345">
        <v>7</v>
      </c>
      <c r="G345" t="str">
        <f>VLOOKUP(Table28[[#This Row],[SKU]],Supplier_Products[[#All],[Supplier]:[SKU]],3,FALSE)</f>
        <v>ClickTech</v>
      </c>
      <c r="H345" t="str" cm="1">
        <f t="array" ref="H345">_xlfn.XLOOKUP(Table28[[#This Row],[SKU]],Supplier_Products[[#All],[SKU]],Supplier_Products[[#All],[Supplier]])</f>
        <v>ClickTech</v>
      </c>
    </row>
    <row r="346" spans="1:8" x14ac:dyDescent="0.3">
      <c r="A346">
        <v>1345</v>
      </c>
      <c r="B346">
        <v>507</v>
      </c>
      <c r="C346" t="s">
        <v>145</v>
      </c>
      <c r="D346" s="5">
        <v>45421</v>
      </c>
      <c r="E346" t="s">
        <v>190</v>
      </c>
      <c r="F346">
        <v>6</v>
      </c>
      <c r="G346" t="str">
        <f>VLOOKUP(Table28[[#This Row],[SKU]],Supplier_Products[[#All],[Supplier]:[SKU]],3,FALSE)</f>
        <v>BrightHome</v>
      </c>
      <c r="H346" t="str" cm="1">
        <f t="array" ref="H346">_xlfn.XLOOKUP(Table28[[#This Row],[SKU]],Supplier_Products[[#All],[SKU]],Supplier_Products[[#All],[Supplier]])</f>
        <v>BrightHome</v>
      </c>
    </row>
    <row r="347" spans="1:8" x14ac:dyDescent="0.3">
      <c r="A347">
        <v>1346</v>
      </c>
      <c r="B347">
        <v>749</v>
      </c>
      <c r="C347" t="s">
        <v>10</v>
      </c>
      <c r="D347" s="5">
        <v>45549</v>
      </c>
      <c r="E347" t="s">
        <v>13</v>
      </c>
      <c r="F347">
        <v>17</v>
      </c>
      <c r="G347" t="str">
        <f>VLOOKUP(Table28[[#This Row],[SKU]],Supplier_Products[[#All],[Supplier]:[SKU]],3,FALSE)</f>
        <v>TabletMakers</v>
      </c>
      <c r="H347" t="str" cm="1">
        <f t="array" ref="H347">_xlfn.XLOOKUP(Table28[[#This Row],[SKU]],Supplier_Products[[#All],[SKU]],Supplier_Products[[#All],[Supplier]])</f>
        <v>TabletMakers</v>
      </c>
    </row>
    <row r="348" spans="1:8" x14ac:dyDescent="0.3">
      <c r="A348">
        <v>1347</v>
      </c>
      <c r="B348">
        <v>635</v>
      </c>
      <c r="C348" t="s">
        <v>121</v>
      </c>
      <c r="D348" s="5">
        <v>45650</v>
      </c>
      <c r="E348" t="s">
        <v>186</v>
      </c>
      <c r="F348">
        <v>12</v>
      </c>
      <c r="G348" t="str">
        <f>VLOOKUP(Table28[[#This Row],[SKU]],Supplier_Products[[#All],[Supplier]:[SKU]],3,FALSE)</f>
        <v>ClickTech</v>
      </c>
      <c r="H348" t="str" cm="1">
        <f t="array" ref="H348">_xlfn.XLOOKUP(Table28[[#This Row],[SKU]],Supplier_Products[[#All],[SKU]],Supplier_Products[[#All],[Supplier]])</f>
        <v>ClickTech</v>
      </c>
    </row>
    <row r="349" spans="1:8" x14ac:dyDescent="0.3">
      <c r="A349">
        <v>1348</v>
      </c>
      <c r="B349">
        <v>527</v>
      </c>
      <c r="C349" t="s">
        <v>175</v>
      </c>
      <c r="D349" s="5">
        <v>45508</v>
      </c>
      <c r="E349" t="s">
        <v>186</v>
      </c>
      <c r="F349">
        <v>16</v>
      </c>
      <c r="G349" t="str">
        <f>VLOOKUP(Table28[[#This Row],[SKU]],Supplier_Products[[#All],[Supplier]:[SKU]],3,FALSE)</f>
        <v>DisplayPro</v>
      </c>
      <c r="H349" t="str" cm="1">
        <f t="array" ref="H349">_xlfn.XLOOKUP(Table28[[#This Row],[SKU]],Supplier_Products[[#All],[SKU]],Supplier_Products[[#All],[Supplier]])</f>
        <v>DisplayPro</v>
      </c>
    </row>
    <row r="350" spans="1:8" x14ac:dyDescent="0.3">
      <c r="A350">
        <v>1349</v>
      </c>
      <c r="B350">
        <v>700</v>
      </c>
      <c r="C350" t="s">
        <v>158</v>
      </c>
      <c r="D350" s="5">
        <v>45516</v>
      </c>
      <c r="E350" t="s">
        <v>186</v>
      </c>
      <c r="F350">
        <v>19</v>
      </c>
      <c r="G350" t="str">
        <f>VLOOKUP(Table28[[#This Row],[SKU]],Supplier_Products[[#All],[Supplier]:[SKU]],3,FALSE)</f>
        <v>ClickTech</v>
      </c>
      <c r="H350" t="str" cm="1">
        <f t="array" ref="H350">_xlfn.XLOOKUP(Table28[[#This Row],[SKU]],Supplier_Products[[#All],[SKU]],Supplier_Products[[#All],[Supplier]])</f>
        <v>ClickTech</v>
      </c>
    </row>
    <row r="351" spans="1:8" x14ac:dyDescent="0.3">
      <c r="A351">
        <v>1350</v>
      </c>
      <c r="B351">
        <v>580</v>
      </c>
      <c r="C351" t="s">
        <v>158</v>
      </c>
      <c r="D351" s="5">
        <v>45299</v>
      </c>
      <c r="E351" t="s">
        <v>186</v>
      </c>
      <c r="F351">
        <v>14</v>
      </c>
      <c r="G351" t="str">
        <f>VLOOKUP(Table28[[#This Row],[SKU]],Supplier_Products[[#All],[Supplier]:[SKU]],3,FALSE)</f>
        <v>ClickTech</v>
      </c>
      <c r="H351" t="str" cm="1">
        <f t="array" ref="H351">_xlfn.XLOOKUP(Table28[[#This Row],[SKU]],Supplier_Products[[#All],[SKU]],Supplier_Products[[#All],[Supplier]])</f>
        <v>ClickTech</v>
      </c>
    </row>
    <row r="352" spans="1:8" x14ac:dyDescent="0.3">
      <c r="A352">
        <v>1351</v>
      </c>
      <c r="B352">
        <v>727</v>
      </c>
      <c r="C352" t="s">
        <v>145</v>
      </c>
      <c r="D352" s="5">
        <v>45578</v>
      </c>
      <c r="E352" t="s">
        <v>190</v>
      </c>
      <c r="F352">
        <v>7</v>
      </c>
      <c r="G352" t="str">
        <f>VLOOKUP(Table28[[#This Row],[SKU]],Supplier_Products[[#All],[Supplier]:[SKU]],3,FALSE)</f>
        <v>BrightHome</v>
      </c>
      <c r="H352" t="str" cm="1">
        <f t="array" ref="H352">_xlfn.XLOOKUP(Table28[[#This Row],[SKU]],Supplier_Products[[#All],[SKU]],Supplier_Products[[#All],[Supplier]])</f>
        <v>BrightHome</v>
      </c>
    </row>
    <row r="353" spans="1:8" x14ac:dyDescent="0.3">
      <c r="A353">
        <v>1352</v>
      </c>
      <c r="B353">
        <v>616</v>
      </c>
      <c r="C353" t="s">
        <v>166</v>
      </c>
      <c r="D353" s="5">
        <v>45460</v>
      </c>
      <c r="E353" t="s">
        <v>191</v>
      </c>
      <c r="F353">
        <v>18</v>
      </c>
      <c r="G353" t="str">
        <f>VLOOKUP(Table28[[#This Row],[SKU]],Supplier_Products[[#All],[Supplier]:[SKU]],3,FALSE)</f>
        <v>BookTech</v>
      </c>
      <c r="H353" t="str" cm="1">
        <f t="array" ref="H353">_xlfn.XLOOKUP(Table28[[#This Row],[SKU]],Supplier_Products[[#All],[SKU]],Supplier_Products[[#All],[Supplier]])</f>
        <v>BookTech</v>
      </c>
    </row>
    <row r="354" spans="1:8" x14ac:dyDescent="0.3">
      <c r="A354">
        <v>1353</v>
      </c>
      <c r="B354">
        <v>738</v>
      </c>
      <c r="C354" t="s">
        <v>178</v>
      </c>
      <c r="D354" s="5">
        <v>45396</v>
      </c>
      <c r="E354" t="s">
        <v>13</v>
      </c>
      <c r="F354">
        <v>19</v>
      </c>
      <c r="G354" t="str">
        <f>VLOOKUP(Table28[[#This Row],[SKU]],Supplier_Products[[#All],[Supplier]:[SKU]],3,FALSE)</f>
        <v>DockIt</v>
      </c>
      <c r="H354" t="str" cm="1">
        <f t="array" ref="H354">_xlfn.XLOOKUP(Table28[[#This Row],[SKU]],Supplier_Products[[#All],[SKU]],Supplier_Products[[#All],[Supplier]])</f>
        <v>DockIt</v>
      </c>
    </row>
    <row r="355" spans="1:8" x14ac:dyDescent="0.3">
      <c r="A355">
        <v>1354</v>
      </c>
      <c r="B355">
        <v>572</v>
      </c>
      <c r="C355" t="s">
        <v>110</v>
      </c>
      <c r="D355" s="5">
        <v>45580</v>
      </c>
      <c r="E355" t="s">
        <v>188</v>
      </c>
      <c r="F355">
        <v>9</v>
      </c>
      <c r="G355" t="str">
        <f>VLOOKUP(Table28[[#This Row],[SKU]],Supplier_Products[[#All],[Supplier]:[SKU]],3,FALSE)</f>
        <v>PlayMax</v>
      </c>
      <c r="H355" t="str" cm="1">
        <f t="array" ref="H355">_xlfn.XLOOKUP(Table28[[#This Row],[SKU]],Supplier_Products[[#All],[SKU]],Supplier_Products[[#All],[Supplier]])</f>
        <v>PlayMax</v>
      </c>
    </row>
    <row r="356" spans="1:8" x14ac:dyDescent="0.3">
      <c r="A356">
        <v>1355</v>
      </c>
      <c r="B356">
        <v>508</v>
      </c>
      <c r="C356" t="s">
        <v>114</v>
      </c>
      <c r="D356" s="5">
        <v>45527</v>
      </c>
      <c r="E356" t="s">
        <v>189</v>
      </c>
      <c r="F356">
        <v>11</v>
      </c>
      <c r="G356" t="str">
        <f>VLOOKUP(Table28[[#This Row],[SKU]],Supplier_Products[[#All],[Supplier]:[SKU]],3,FALSE)</f>
        <v>VisionTech</v>
      </c>
      <c r="H356" t="str" cm="1">
        <f t="array" ref="H356">_xlfn.XLOOKUP(Table28[[#This Row],[SKU]],Supplier_Products[[#All],[SKU]],Supplier_Products[[#All],[Supplier]])</f>
        <v>VisionTech</v>
      </c>
    </row>
    <row r="357" spans="1:8" x14ac:dyDescent="0.3">
      <c r="A357">
        <v>1356</v>
      </c>
      <c r="B357">
        <v>713</v>
      </c>
      <c r="C357" t="s">
        <v>150</v>
      </c>
      <c r="D357" s="5">
        <v>45443</v>
      </c>
      <c r="E357" t="s">
        <v>187</v>
      </c>
      <c r="F357">
        <v>13</v>
      </c>
      <c r="G357" t="str">
        <f>VLOOKUP(Table28[[#This Row],[SKU]],Supplier_Products[[#All],[Supplier]:[SKU]],3,FALSE)</f>
        <v>ShutterPro</v>
      </c>
      <c r="H357" t="str" cm="1">
        <f t="array" ref="H357">_xlfn.XLOOKUP(Table28[[#This Row],[SKU]],Supplier_Products[[#All],[SKU]],Supplier_Products[[#All],[Supplier]])</f>
        <v>ShutterPro</v>
      </c>
    </row>
    <row r="358" spans="1:8" x14ac:dyDescent="0.3">
      <c r="A358">
        <v>1357</v>
      </c>
      <c r="B358">
        <v>662</v>
      </c>
      <c r="C358" t="s">
        <v>162</v>
      </c>
      <c r="D358" s="5">
        <v>45332</v>
      </c>
      <c r="E358" t="s">
        <v>189</v>
      </c>
      <c r="F358">
        <v>3</v>
      </c>
      <c r="G358" t="str">
        <f>VLOOKUP(Table28[[#This Row],[SKU]],Supplier_Products[[#All],[Supplier]:[SKU]],3,FALSE)</f>
        <v>AeroTech</v>
      </c>
      <c r="H358" t="str" cm="1">
        <f t="array" ref="H358">_xlfn.XLOOKUP(Table28[[#This Row],[SKU]],Supplier_Products[[#All],[SKU]],Supplier_Products[[#All],[Supplier]])</f>
        <v>AeroTech</v>
      </c>
    </row>
    <row r="359" spans="1:8" x14ac:dyDescent="0.3">
      <c r="A359">
        <v>1358</v>
      </c>
      <c r="B359">
        <v>677</v>
      </c>
      <c r="C359" t="s">
        <v>123</v>
      </c>
      <c r="D359" s="5">
        <v>45467</v>
      </c>
      <c r="E359" t="s">
        <v>189</v>
      </c>
      <c r="F359">
        <v>16</v>
      </c>
      <c r="G359" t="str">
        <f>VLOOKUP(Table28[[#This Row],[SKU]],Supplier_Products[[#All],[Supplier]:[SKU]],3,FALSE)</f>
        <v>VRWorld</v>
      </c>
      <c r="H359" t="str" cm="1">
        <f t="array" ref="H359">_xlfn.XLOOKUP(Table28[[#This Row],[SKU]],Supplier_Products[[#All],[SKU]],Supplier_Products[[#All],[Supplier]])</f>
        <v>VRWorld</v>
      </c>
    </row>
    <row r="360" spans="1:8" x14ac:dyDescent="0.3">
      <c r="A360">
        <v>1359</v>
      </c>
      <c r="B360">
        <v>684</v>
      </c>
      <c r="C360" t="s">
        <v>162</v>
      </c>
      <c r="D360" s="5">
        <v>45613</v>
      </c>
      <c r="E360" t="s">
        <v>189</v>
      </c>
      <c r="F360">
        <v>2</v>
      </c>
      <c r="G360" t="str">
        <f>VLOOKUP(Table28[[#This Row],[SKU]],Supplier_Products[[#All],[Supplier]:[SKU]],3,FALSE)</f>
        <v>AeroTech</v>
      </c>
      <c r="H360" t="str" cm="1">
        <f t="array" ref="H360">_xlfn.XLOOKUP(Table28[[#This Row],[SKU]],Supplier_Products[[#All],[SKU]],Supplier_Products[[#All],[Supplier]])</f>
        <v>AeroTech</v>
      </c>
    </row>
    <row r="361" spans="1:8" x14ac:dyDescent="0.3">
      <c r="A361">
        <v>1360</v>
      </c>
      <c r="B361">
        <v>728</v>
      </c>
      <c r="C361" t="s">
        <v>8</v>
      </c>
      <c r="D361" s="5">
        <v>45458</v>
      </c>
      <c r="E361" t="s">
        <v>15</v>
      </c>
      <c r="F361">
        <v>10</v>
      </c>
      <c r="G361" t="str">
        <f>VLOOKUP(Table28[[#This Row],[SKU]],Supplier_Products[[#All],[Supplier]:[SKU]],3,FALSE)</f>
        <v>Wearable Inc.</v>
      </c>
      <c r="H361" t="str" cm="1">
        <f t="array" ref="H361">_xlfn.XLOOKUP(Table28[[#This Row],[SKU]],Supplier_Products[[#All],[SKU]],Supplier_Products[[#All],[Supplier]])</f>
        <v>Wearable Inc.</v>
      </c>
    </row>
    <row r="362" spans="1:8" x14ac:dyDescent="0.3">
      <c r="A362">
        <v>1361</v>
      </c>
      <c r="B362">
        <v>539</v>
      </c>
      <c r="C362" t="s">
        <v>160</v>
      </c>
      <c r="D362" s="5">
        <v>45614</v>
      </c>
      <c r="E362" t="s">
        <v>13</v>
      </c>
      <c r="F362">
        <v>18</v>
      </c>
      <c r="G362" t="str">
        <f>VLOOKUP(Table28[[#This Row],[SKU]],Supplier_Products[[#All],[Supplier]:[SKU]],3,FALSE)</f>
        <v>SoundCo</v>
      </c>
      <c r="H362" t="str" cm="1">
        <f t="array" ref="H362">_xlfn.XLOOKUP(Table28[[#This Row],[SKU]],Supplier_Products[[#All],[SKU]],Supplier_Products[[#All],[Supplier]])</f>
        <v>SoundCo</v>
      </c>
    </row>
    <row r="363" spans="1:8" x14ac:dyDescent="0.3">
      <c r="A363">
        <v>1362</v>
      </c>
      <c r="B363">
        <v>684</v>
      </c>
      <c r="C363" t="s">
        <v>117</v>
      </c>
      <c r="D363" s="5">
        <v>45604</v>
      </c>
      <c r="E363" t="s">
        <v>190</v>
      </c>
      <c r="F363">
        <v>7</v>
      </c>
      <c r="G363" t="str">
        <f>VLOOKUP(Table28[[#This Row],[SKU]],Supplier_Products[[#All],[Supplier]:[SKU]],3,FALSE)</f>
        <v>DataSafe</v>
      </c>
      <c r="H363" t="str" cm="1">
        <f t="array" ref="H363">_xlfn.XLOOKUP(Table28[[#This Row],[SKU]],Supplier_Products[[#All],[SKU]],Supplier_Products[[#All],[Supplier]])</f>
        <v>DataSafe</v>
      </c>
    </row>
    <row r="364" spans="1:8" x14ac:dyDescent="0.3">
      <c r="A364">
        <v>1363</v>
      </c>
      <c r="B364">
        <v>528</v>
      </c>
      <c r="C364" t="s">
        <v>11</v>
      </c>
      <c r="D364" s="5">
        <v>45520</v>
      </c>
      <c r="E364" t="s">
        <v>12</v>
      </c>
      <c r="F364">
        <v>19</v>
      </c>
      <c r="G364" t="str">
        <f>VLOOKUP(Table28[[#This Row],[SKU]],Supplier_Products[[#All],[Supplier]:[SKU]],3,FALSE)</f>
        <v>ChargePro</v>
      </c>
      <c r="H364" t="str" cm="1">
        <f t="array" ref="H364">_xlfn.XLOOKUP(Table28[[#This Row],[SKU]],Supplier_Products[[#All],[SKU]],Supplier_Products[[#All],[Supplier]])</f>
        <v>ChargePro</v>
      </c>
    </row>
    <row r="365" spans="1:8" x14ac:dyDescent="0.3">
      <c r="A365">
        <v>1364</v>
      </c>
      <c r="B365">
        <v>716</v>
      </c>
      <c r="C365" t="s">
        <v>133</v>
      </c>
      <c r="D365" s="5">
        <v>45349</v>
      </c>
      <c r="E365" t="s">
        <v>14</v>
      </c>
      <c r="F365">
        <v>1</v>
      </c>
      <c r="G365" t="str">
        <f>VLOOKUP(Table28[[#This Row],[SKU]],Supplier_Products[[#All],[Supplier]:[SKU]],3,FALSE)</f>
        <v>SafeTech</v>
      </c>
      <c r="H365" t="str" cm="1">
        <f t="array" ref="H365">_xlfn.XLOOKUP(Table28[[#This Row],[SKU]],Supplier_Products[[#All],[SKU]],Supplier_Products[[#All],[Supplier]])</f>
        <v>SafeTech</v>
      </c>
    </row>
    <row r="366" spans="1:8" x14ac:dyDescent="0.3">
      <c r="A366">
        <v>1365</v>
      </c>
      <c r="B366">
        <v>596</v>
      </c>
      <c r="C366" t="s">
        <v>123</v>
      </c>
      <c r="D366" s="5">
        <v>45649</v>
      </c>
      <c r="E366" t="s">
        <v>189</v>
      </c>
      <c r="F366">
        <v>17</v>
      </c>
      <c r="G366" t="str">
        <f>VLOOKUP(Table28[[#This Row],[SKU]],Supplier_Products[[#All],[Supplier]:[SKU]],3,FALSE)</f>
        <v>VRWorld</v>
      </c>
      <c r="H366" t="str" cm="1">
        <f t="array" ref="H366">_xlfn.XLOOKUP(Table28[[#This Row],[SKU]],Supplier_Products[[#All],[SKU]],Supplier_Products[[#All],[Supplier]])</f>
        <v>VRWorld</v>
      </c>
    </row>
    <row r="367" spans="1:8" x14ac:dyDescent="0.3">
      <c r="A367">
        <v>1366</v>
      </c>
      <c r="B367">
        <v>501</v>
      </c>
      <c r="C367" t="s">
        <v>178</v>
      </c>
      <c r="D367" s="5">
        <v>45298</v>
      </c>
      <c r="E367" t="s">
        <v>13</v>
      </c>
      <c r="F367">
        <v>19</v>
      </c>
      <c r="G367" t="str">
        <f>VLOOKUP(Table28[[#This Row],[SKU]],Supplier_Products[[#All],[Supplier]:[SKU]],3,FALSE)</f>
        <v>DockIt</v>
      </c>
      <c r="H367" t="str" cm="1">
        <f t="array" ref="H367">_xlfn.XLOOKUP(Table28[[#This Row],[SKU]],Supplier_Products[[#All],[SKU]],Supplier_Products[[#All],[Supplier]])</f>
        <v>DockIt</v>
      </c>
    </row>
    <row r="368" spans="1:8" x14ac:dyDescent="0.3">
      <c r="A368">
        <v>1367</v>
      </c>
      <c r="B368">
        <v>551</v>
      </c>
      <c r="C368" t="s">
        <v>73</v>
      </c>
      <c r="D368" s="5">
        <v>45614</v>
      </c>
      <c r="E368" t="s">
        <v>186</v>
      </c>
      <c r="F368">
        <v>6</v>
      </c>
      <c r="G368" t="str">
        <f>VLOOKUP(Table28[[#This Row],[SKU]],Supplier_Products[[#All],[Supplier]:[SKU]],3,FALSE)</f>
        <v>ClickTech</v>
      </c>
      <c r="H368" t="str" cm="1">
        <f t="array" ref="H368">_xlfn.XLOOKUP(Table28[[#This Row],[SKU]],Supplier_Products[[#All],[SKU]],Supplier_Products[[#All],[Supplier]])</f>
        <v>ClickTech</v>
      </c>
    </row>
    <row r="369" spans="1:8" x14ac:dyDescent="0.3">
      <c r="A369">
        <v>1368</v>
      </c>
      <c r="B369">
        <v>707</v>
      </c>
      <c r="C369" t="s">
        <v>173</v>
      </c>
      <c r="D369" s="5">
        <v>45640</v>
      </c>
      <c r="E369" t="s">
        <v>14</v>
      </c>
      <c r="F369">
        <v>6</v>
      </c>
      <c r="G369" t="str">
        <f>VLOOKUP(Table28[[#This Row],[SKU]],Supplier_Products[[#All],[Supplier]:[SKU]],3,FALSE)</f>
        <v>SafeTech</v>
      </c>
      <c r="H369" t="str" cm="1">
        <f t="array" ref="H369">_xlfn.XLOOKUP(Table28[[#This Row],[SKU]],Supplier_Products[[#All],[SKU]],Supplier_Products[[#All],[Supplier]])</f>
        <v>SafeTech</v>
      </c>
    </row>
    <row r="370" spans="1:8" x14ac:dyDescent="0.3">
      <c r="A370">
        <v>1369</v>
      </c>
      <c r="B370">
        <v>637</v>
      </c>
      <c r="C370" t="s">
        <v>148</v>
      </c>
      <c r="D370" s="5">
        <v>45295</v>
      </c>
      <c r="E370" t="s">
        <v>12</v>
      </c>
      <c r="F370">
        <v>5</v>
      </c>
      <c r="G370" t="str">
        <f>VLOOKUP(Table28[[#This Row],[SKU]],Supplier_Products[[#All],[Supplier]:[SKU]],3,FALSE)</f>
        <v>ChargePro</v>
      </c>
      <c r="H370" t="str" cm="1">
        <f t="array" ref="H370">_xlfn.XLOOKUP(Table28[[#This Row],[SKU]],Supplier_Products[[#All],[SKU]],Supplier_Products[[#All],[Supplier]])</f>
        <v>ChargePro</v>
      </c>
    </row>
    <row r="371" spans="1:8" x14ac:dyDescent="0.3">
      <c r="A371">
        <v>1370</v>
      </c>
      <c r="B371">
        <v>643</v>
      </c>
      <c r="C371" t="s">
        <v>126</v>
      </c>
      <c r="D371" s="5">
        <v>45624</v>
      </c>
      <c r="E371" t="s">
        <v>191</v>
      </c>
      <c r="F371">
        <v>2</v>
      </c>
      <c r="G371" t="str">
        <f>VLOOKUP(Table28[[#This Row],[SKU]],Supplier_Products[[#All],[Supplier]:[SKU]],3,FALSE)</f>
        <v>FitTech</v>
      </c>
      <c r="H371" t="str" cm="1">
        <f t="array" ref="H371">_xlfn.XLOOKUP(Table28[[#This Row],[SKU]],Supplier_Products[[#All],[SKU]],Supplier_Products[[#All],[Supplier]])</f>
        <v>FitTech</v>
      </c>
    </row>
    <row r="372" spans="1:8" x14ac:dyDescent="0.3">
      <c r="A372">
        <v>1371</v>
      </c>
      <c r="B372">
        <v>719</v>
      </c>
      <c r="C372" t="s">
        <v>181</v>
      </c>
      <c r="D372" s="5">
        <v>45626</v>
      </c>
      <c r="E372" t="s">
        <v>12</v>
      </c>
      <c r="F372">
        <v>5</v>
      </c>
      <c r="G372" t="str">
        <f>VLOOKUP(Table28[[#This Row],[SKU]],Supplier_Products[[#All],[Supplier]:[SKU]],3,FALSE)</f>
        <v>PhotoFrame Inc.</v>
      </c>
      <c r="H372" t="str" cm="1">
        <f t="array" ref="H372">_xlfn.XLOOKUP(Table28[[#This Row],[SKU]],Supplier_Products[[#All],[SKU]],Supplier_Products[[#All],[Supplier]])</f>
        <v>PhotoFrame Inc.</v>
      </c>
    </row>
    <row r="373" spans="1:8" x14ac:dyDescent="0.3">
      <c r="A373">
        <v>1372</v>
      </c>
      <c r="B373">
        <v>580</v>
      </c>
      <c r="C373" t="s">
        <v>169</v>
      </c>
      <c r="D373" s="5">
        <v>45363</v>
      </c>
      <c r="E373" t="s">
        <v>14</v>
      </c>
      <c r="F373">
        <v>8</v>
      </c>
      <c r="G373" t="str">
        <f>VLOOKUP(Table28[[#This Row],[SKU]],Supplier_Products[[#All],[Supplier]:[SKU]],3,FALSE)</f>
        <v>SafeDrive</v>
      </c>
      <c r="H373" t="str" cm="1">
        <f t="array" ref="H373">_xlfn.XLOOKUP(Table28[[#This Row],[SKU]],Supplier_Products[[#All],[SKU]],Supplier_Products[[#All],[Supplier]])</f>
        <v>SafeDrive</v>
      </c>
    </row>
    <row r="374" spans="1:8" x14ac:dyDescent="0.3">
      <c r="A374">
        <v>1373</v>
      </c>
      <c r="B374">
        <v>648</v>
      </c>
      <c r="C374" t="s">
        <v>162</v>
      </c>
      <c r="D374" s="5">
        <v>45369</v>
      </c>
      <c r="E374" t="s">
        <v>189</v>
      </c>
      <c r="F374">
        <v>14</v>
      </c>
      <c r="G374" t="str">
        <f>VLOOKUP(Table28[[#This Row],[SKU]],Supplier_Products[[#All],[Supplier]:[SKU]],3,FALSE)</f>
        <v>AeroTech</v>
      </c>
      <c r="H374" t="str" cm="1">
        <f t="array" ref="H374">_xlfn.XLOOKUP(Table28[[#This Row],[SKU]],Supplier_Products[[#All],[SKU]],Supplier_Products[[#All],[Supplier]])</f>
        <v>AeroTech</v>
      </c>
    </row>
    <row r="375" spans="1:8" x14ac:dyDescent="0.3">
      <c r="A375">
        <v>1374</v>
      </c>
      <c r="B375">
        <v>706</v>
      </c>
      <c r="C375" t="s">
        <v>137</v>
      </c>
      <c r="D375" s="5">
        <v>45458</v>
      </c>
      <c r="E375" t="s">
        <v>188</v>
      </c>
      <c r="F375">
        <v>16</v>
      </c>
      <c r="G375" t="str">
        <f>VLOOKUP(Table28[[#This Row],[SKU]],Supplier_Products[[#All],[Supplier]:[SKU]],3,FALSE)</f>
        <v>CleanBot</v>
      </c>
      <c r="H375" t="str" cm="1">
        <f t="array" ref="H375">_xlfn.XLOOKUP(Table28[[#This Row],[SKU]],Supplier_Products[[#All],[SKU]],Supplier_Products[[#All],[Supplier]])</f>
        <v>CleanBot</v>
      </c>
    </row>
    <row r="376" spans="1:8" x14ac:dyDescent="0.3">
      <c r="A376">
        <v>1375</v>
      </c>
      <c r="B376">
        <v>574</v>
      </c>
      <c r="C376" t="s">
        <v>7</v>
      </c>
      <c r="D376" s="5">
        <v>45470</v>
      </c>
      <c r="E376" t="s">
        <v>13</v>
      </c>
      <c r="F376">
        <v>19</v>
      </c>
      <c r="G376" t="str">
        <f>VLOOKUP(Table28[[#This Row],[SKU]],Supplier_Products[[#All],[Supplier]:[SKU]],3,FALSE)</f>
        <v>SoundCo</v>
      </c>
      <c r="H376" t="str" cm="1">
        <f t="array" ref="H376">_xlfn.XLOOKUP(Table28[[#This Row],[SKU]],Supplier_Products[[#All],[SKU]],Supplier_Products[[#All],[Supplier]])</f>
        <v>SoundCo</v>
      </c>
    </row>
    <row r="377" spans="1:8" x14ac:dyDescent="0.3">
      <c r="A377">
        <v>1376</v>
      </c>
      <c r="B377">
        <v>748</v>
      </c>
      <c r="C377" t="s">
        <v>6</v>
      </c>
      <c r="D377" s="5">
        <v>45484</v>
      </c>
      <c r="E377" t="s">
        <v>12</v>
      </c>
      <c r="F377">
        <v>6</v>
      </c>
      <c r="G377" t="str">
        <f>VLOOKUP(Table28[[#This Row],[SKU]],Supplier_Products[[#All],[Supplier]:[SKU]],3,FALSE)</f>
        <v>TechCorp</v>
      </c>
      <c r="H377" t="str" cm="1">
        <f t="array" ref="H377">_xlfn.XLOOKUP(Table28[[#This Row],[SKU]],Supplier_Products[[#All],[SKU]],Supplier_Products[[#All],[Supplier]])</f>
        <v>TechCorp</v>
      </c>
    </row>
    <row r="378" spans="1:8" x14ac:dyDescent="0.3">
      <c r="A378">
        <v>1377</v>
      </c>
      <c r="B378">
        <v>644</v>
      </c>
      <c r="C378" t="s">
        <v>140</v>
      </c>
      <c r="D378" s="5">
        <v>45420</v>
      </c>
      <c r="E378" t="s">
        <v>187</v>
      </c>
      <c r="F378">
        <v>20</v>
      </c>
      <c r="G378" t="str">
        <f>VLOOKUP(Table28[[#This Row],[SKU]],Supplier_Products[[#All],[Supplier]:[SKU]],3,FALSE)</f>
        <v>SoundWave</v>
      </c>
      <c r="H378" t="str" cm="1">
        <f t="array" ref="H378">_xlfn.XLOOKUP(Table28[[#This Row],[SKU]],Supplier_Products[[#All],[SKU]],Supplier_Products[[#All],[Supplier]])</f>
        <v>SoundWave</v>
      </c>
    </row>
    <row r="379" spans="1:8" x14ac:dyDescent="0.3">
      <c r="A379">
        <v>1378</v>
      </c>
      <c r="B379">
        <v>512</v>
      </c>
      <c r="C379" t="s">
        <v>137</v>
      </c>
      <c r="D379" s="5">
        <v>45309</v>
      </c>
      <c r="E379" t="s">
        <v>188</v>
      </c>
      <c r="F379">
        <v>16</v>
      </c>
      <c r="G379" t="str">
        <f>VLOOKUP(Table28[[#This Row],[SKU]],Supplier_Products[[#All],[Supplier]:[SKU]],3,FALSE)</f>
        <v>CleanBot</v>
      </c>
      <c r="H379" t="str" cm="1">
        <f t="array" ref="H379">_xlfn.XLOOKUP(Table28[[#This Row],[SKU]],Supplier_Products[[#All],[SKU]],Supplier_Products[[#All],[Supplier]])</f>
        <v>CleanBot</v>
      </c>
    </row>
    <row r="380" spans="1:8" x14ac:dyDescent="0.3">
      <c r="A380">
        <v>1379</v>
      </c>
      <c r="B380">
        <v>605</v>
      </c>
      <c r="C380" t="s">
        <v>173</v>
      </c>
      <c r="D380" s="5">
        <v>45551</v>
      </c>
      <c r="E380" t="s">
        <v>14</v>
      </c>
      <c r="F380">
        <v>16</v>
      </c>
      <c r="G380" t="str">
        <f>VLOOKUP(Table28[[#This Row],[SKU]],Supplier_Products[[#All],[Supplier]:[SKU]],3,FALSE)</f>
        <v>SafeTech</v>
      </c>
      <c r="H380" t="str" cm="1">
        <f t="array" ref="H380">_xlfn.XLOOKUP(Table28[[#This Row],[SKU]],Supplier_Products[[#All],[SKU]],Supplier_Products[[#All],[Supplier]])</f>
        <v>SafeTech</v>
      </c>
    </row>
    <row r="381" spans="1:8" x14ac:dyDescent="0.3">
      <c r="A381">
        <v>1380</v>
      </c>
      <c r="B381">
        <v>658</v>
      </c>
      <c r="C381" t="s">
        <v>148</v>
      </c>
      <c r="D381" s="5">
        <v>45377</v>
      </c>
      <c r="E381" t="s">
        <v>12</v>
      </c>
      <c r="F381">
        <v>11</v>
      </c>
      <c r="G381" t="str">
        <f>VLOOKUP(Table28[[#This Row],[SKU]],Supplier_Products[[#All],[Supplier]:[SKU]],3,FALSE)</f>
        <v>ChargePro</v>
      </c>
      <c r="H381" t="str" cm="1">
        <f t="array" ref="H381">_xlfn.XLOOKUP(Table28[[#This Row],[SKU]],Supplier_Products[[#All],[SKU]],Supplier_Products[[#All],[Supplier]])</f>
        <v>ChargePro</v>
      </c>
    </row>
    <row r="382" spans="1:8" x14ac:dyDescent="0.3">
      <c r="A382">
        <v>1381</v>
      </c>
      <c r="B382">
        <v>657</v>
      </c>
      <c r="C382" t="s">
        <v>175</v>
      </c>
      <c r="D382" s="5">
        <v>45349</v>
      </c>
      <c r="E382" t="s">
        <v>186</v>
      </c>
      <c r="F382">
        <v>9</v>
      </c>
      <c r="G382" t="str">
        <f>VLOOKUP(Table28[[#This Row],[SKU]],Supplier_Products[[#All],[Supplier]:[SKU]],3,FALSE)</f>
        <v>DisplayPro</v>
      </c>
      <c r="H382" t="str" cm="1">
        <f t="array" ref="H382">_xlfn.XLOOKUP(Table28[[#This Row],[SKU]],Supplier_Products[[#All],[SKU]],Supplier_Products[[#All],[Supplier]])</f>
        <v>DisplayPro</v>
      </c>
    </row>
    <row r="383" spans="1:8" x14ac:dyDescent="0.3">
      <c r="A383">
        <v>1382</v>
      </c>
      <c r="B383">
        <v>589</v>
      </c>
      <c r="C383" t="s">
        <v>175</v>
      </c>
      <c r="D383" s="5">
        <v>45406</v>
      </c>
      <c r="E383" t="s">
        <v>186</v>
      </c>
      <c r="F383">
        <v>4</v>
      </c>
      <c r="G383" t="str">
        <f>VLOOKUP(Table28[[#This Row],[SKU]],Supplier_Products[[#All],[Supplier]:[SKU]],3,FALSE)</f>
        <v>DisplayPro</v>
      </c>
      <c r="H383" t="str" cm="1">
        <f t="array" ref="H383">_xlfn.XLOOKUP(Table28[[#This Row],[SKU]],Supplier_Products[[#All],[SKU]],Supplier_Products[[#All],[Supplier]])</f>
        <v>DisplayPro</v>
      </c>
    </row>
    <row r="384" spans="1:8" x14ac:dyDescent="0.3">
      <c r="A384">
        <v>1383</v>
      </c>
      <c r="B384">
        <v>682</v>
      </c>
      <c r="C384" t="s">
        <v>137</v>
      </c>
      <c r="D384" s="5">
        <v>45619</v>
      </c>
      <c r="E384" t="s">
        <v>188</v>
      </c>
      <c r="F384">
        <v>8</v>
      </c>
      <c r="G384" t="str">
        <f>VLOOKUP(Table28[[#This Row],[SKU]],Supplier_Products[[#All],[Supplier]:[SKU]],3,FALSE)</f>
        <v>CleanBot</v>
      </c>
      <c r="H384" t="str" cm="1">
        <f t="array" ref="H384">_xlfn.XLOOKUP(Table28[[#This Row],[SKU]],Supplier_Products[[#All],[SKU]],Supplier_Products[[#All],[Supplier]])</f>
        <v>CleanBot</v>
      </c>
    </row>
    <row r="385" spans="1:8" x14ac:dyDescent="0.3">
      <c r="A385">
        <v>1384</v>
      </c>
      <c r="B385">
        <v>658</v>
      </c>
      <c r="C385" t="s">
        <v>181</v>
      </c>
      <c r="D385" s="5">
        <v>45514</v>
      </c>
      <c r="E385" t="s">
        <v>12</v>
      </c>
      <c r="F385">
        <v>2</v>
      </c>
      <c r="G385" t="str">
        <f>VLOOKUP(Table28[[#This Row],[SKU]],Supplier_Products[[#All],[Supplier]:[SKU]],3,FALSE)</f>
        <v>PhotoFrame Inc.</v>
      </c>
      <c r="H385" t="str" cm="1">
        <f t="array" ref="H385">_xlfn.XLOOKUP(Table28[[#This Row],[SKU]],Supplier_Products[[#All],[SKU]],Supplier_Products[[#All],[Supplier]])</f>
        <v>PhotoFrame Inc.</v>
      </c>
    </row>
    <row r="386" spans="1:8" x14ac:dyDescent="0.3">
      <c r="A386">
        <v>1385</v>
      </c>
      <c r="B386">
        <v>539</v>
      </c>
      <c r="C386" t="s">
        <v>169</v>
      </c>
      <c r="D386" s="5">
        <v>45295</v>
      </c>
      <c r="E386" t="s">
        <v>14</v>
      </c>
      <c r="F386">
        <v>15</v>
      </c>
      <c r="G386" t="str">
        <f>VLOOKUP(Table28[[#This Row],[SKU]],Supplier_Products[[#All],[Supplier]:[SKU]],3,FALSE)</f>
        <v>SafeDrive</v>
      </c>
      <c r="H386" t="str" cm="1">
        <f t="array" ref="H386">_xlfn.XLOOKUP(Table28[[#This Row],[SKU]],Supplier_Products[[#All],[SKU]],Supplier_Products[[#All],[Supplier]])</f>
        <v>SafeDrive</v>
      </c>
    </row>
    <row r="387" spans="1:8" x14ac:dyDescent="0.3">
      <c r="A387">
        <v>1386</v>
      </c>
      <c r="B387">
        <v>690</v>
      </c>
      <c r="C387" t="s">
        <v>126</v>
      </c>
      <c r="D387" s="5">
        <v>45573</v>
      </c>
      <c r="E387" t="s">
        <v>191</v>
      </c>
      <c r="F387">
        <v>10</v>
      </c>
      <c r="G387" t="str">
        <f>VLOOKUP(Table28[[#This Row],[SKU]],Supplier_Products[[#All],[Supplier]:[SKU]],3,FALSE)</f>
        <v>FitTech</v>
      </c>
      <c r="H387" t="str" cm="1">
        <f t="array" ref="H387">_xlfn.XLOOKUP(Table28[[#This Row],[SKU]],Supplier_Products[[#All],[SKU]],Supplier_Products[[#All],[Supplier]])</f>
        <v>FitTech</v>
      </c>
    </row>
    <row r="388" spans="1:8" x14ac:dyDescent="0.3">
      <c r="A388">
        <v>1387</v>
      </c>
      <c r="B388">
        <v>539</v>
      </c>
      <c r="C388" t="s">
        <v>178</v>
      </c>
      <c r="D388" s="5">
        <v>45642</v>
      </c>
      <c r="E388" t="s">
        <v>13</v>
      </c>
      <c r="F388">
        <v>10</v>
      </c>
      <c r="G388" t="str">
        <f>VLOOKUP(Table28[[#This Row],[SKU]],Supplier_Products[[#All],[Supplier]:[SKU]],3,FALSE)</f>
        <v>DockIt</v>
      </c>
      <c r="H388" t="str" cm="1">
        <f t="array" ref="H388">_xlfn.XLOOKUP(Table28[[#This Row],[SKU]],Supplier_Products[[#All],[SKU]],Supplier_Products[[#All],[Supplier]])</f>
        <v>DockIt</v>
      </c>
    </row>
    <row r="389" spans="1:8" x14ac:dyDescent="0.3">
      <c r="A389">
        <v>1388</v>
      </c>
      <c r="B389">
        <v>715</v>
      </c>
      <c r="C389" t="s">
        <v>114</v>
      </c>
      <c r="D389" s="5">
        <v>45334</v>
      </c>
      <c r="E389" t="s">
        <v>189</v>
      </c>
      <c r="F389">
        <v>1</v>
      </c>
      <c r="G389" t="str">
        <f>VLOOKUP(Table28[[#This Row],[SKU]],Supplier_Products[[#All],[Supplier]:[SKU]],3,FALSE)</f>
        <v>VisionTech</v>
      </c>
      <c r="H389" t="str" cm="1">
        <f t="array" ref="H389">_xlfn.XLOOKUP(Table28[[#This Row],[SKU]],Supplier_Products[[#All],[SKU]],Supplier_Products[[#All],[Supplier]])</f>
        <v>VisionTech</v>
      </c>
    </row>
    <row r="390" spans="1:8" x14ac:dyDescent="0.3">
      <c r="A390">
        <v>1389</v>
      </c>
      <c r="B390">
        <v>681</v>
      </c>
      <c r="C390" t="s">
        <v>9</v>
      </c>
      <c r="D390" s="5">
        <v>45580</v>
      </c>
      <c r="E390" t="s">
        <v>14</v>
      </c>
      <c r="F390">
        <v>6</v>
      </c>
      <c r="G390" t="str">
        <f>VLOOKUP(Table28[[#This Row],[SKU]],Supplier_Products[[#All],[Supplier]:[SKU]],3,FALSE)</f>
        <v>CompuTech</v>
      </c>
      <c r="H390" t="str" cm="1">
        <f t="array" ref="H390">_xlfn.XLOOKUP(Table28[[#This Row],[SKU]],Supplier_Products[[#All],[SKU]],Supplier_Products[[#All],[Supplier]])</f>
        <v>CompuTech</v>
      </c>
    </row>
    <row r="391" spans="1:8" x14ac:dyDescent="0.3">
      <c r="A391">
        <v>1390</v>
      </c>
      <c r="B391">
        <v>659</v>
      </c>
      <c r="C391" t="s">
        <v>184</v>
      </c>
      <c r="D391" s="5">
        <v>45494</v>
      </c>
      <c r="E391" t="s">
        <v>189</v>
      </c>
      <c r="F391">
        <v>8</v>
      </c>
      <c r="G391" t="str">
        <f>VLOOKUP(Table28[[#This Row],[SKU]],Supplier_Products[[#All],[Supplier]:[SKU]],3,FALSE)</f>
        <v>VisionTech</v>
      </c>
      <c r="H391" t="str" cm="1">
        <f t="array" ref="H391">_xlfn.XLOOKUP(Table28[[#This Row],[SKU]],Supplier_Products[[#All],[SKU]],Supplier_Products[[#All],[Supplier]])</f>
        <v>VisionTech</v>
      </c>
    </row>
    <row r="392" spans="1:8" x14ac:dyDescent="0.3">
      <c r="A392">
        <v>1391</v>
      </c>
      <c r="B392">
        <v>574</v>
      </c>
      <c r="C392" t="s">
        <v>162</v>
      </c>
      <c r="D392" s="5">
        <v>45590</v>
      </c>
      <c r="E392" t="s">
        <v>189</v>
      </c>
      <c r="F392">
        <v>6</v>
      </c>
      <c r="G392" t="str">
        <f>VLOOKUP(Table28[[#This Row],[SKU]],Supplier_Products[[#All],[Supplier]:[SKU]],3,FALSE)</f>
        <v>AeroTech</v>
      </c>
      <c r="H392" t="str" cm="1">
        <f t="array" ref="H392">_xlfn.XLOOKUP(Table28[[#This Row],[SKU]],Supplier_Products[[#All],[SKU]],Supplier_Products[[#All],[Supplier]])</f>
        <v>AeroTech</v>
      </c>
    </row>
    <row r="393" spans="1:8" x14ac:dyDescent="0.3">
      <c r="A393">
        <v>1392</v>
      </c>
      <c r="B393">
        <v>596</v>
      </c>
      <c r="C393" t="s">
        <v>148</v>
      </c>
      <c r="D393" s="5">
        <v>45474</v>
      </c>
      <c r="E393" t="s">
        <v>12</v>
      </c>
      <c r="F393">
        <v>12</v>
      </c>
      <c r="G393" t="str">
        <f>VLOOKUP(Table28[[#This Row],[SKU]],Supplier_Products[[#All],[Supplier]:[SKU]],3,FALSE)</f>
        <v>ChargePro</v>
      </c>
      <c r="H393" t="str" cm="1">
        <f t="array" ref="H393">_xlfn.XLOOKUP(Table28[[#This Row],[SKU]],Supplier_Products[[#All],[SKU]],Supplier_Products[[#All],[Supplier]])</f>
        <v>ChargePro</v>
      </c>
    </row>
    <row r="394" spans="1:8" x14ac:dyDescent="0.3">
      <c r="A394">
        <v>1393</v>
      </c>
      <c r="B394">
        <v>552</v>
      </c>
      <c r="C394" t="s">
        <v>117</v>
      </c>
      <c r="D394" s="5">
        <v>45385</v>
      </c>
      <c r="E394" t="s">
        <v>190</v>
      </c>
      <c r="F394">
        <v>13</v>
      </c>
      <c r="G394" t="str">
        <f>VLOOKUP(Table28[[#This Row],[SKU]],Supplier_Products[[#All],[Supplier]:[SKU]],3,FALSE)</f>
        <v>DataSafe</v>
      </c>
      <c r="H394" t="str" cm="1">
        <f t="array" ref="H394">_xlfn.XLOOKUP(Table28[[#This Row],[SKU]],Supplier_Products[[#All],[SKU]],Supplier_Products[[#All],[Supplier]])</f>
        <v>DataSafe</v>
      </c>
    </row>
    <row r="395" spans="1:8" x14ac:dyDescent="0.3">
      <c r="A395">
        <v>1394</v>
      </c>
      <c r="B395">
        <v>533</v>
      </c>
      <c r="C395" t="s">
        <v>148</v>
      </c>
      <c r="D395" s="5">
        <v>45592</v>
      </c>
      <c r="E395" t="s">
        <v>12</v>
      </c>
      <c r="F395">
        <v>20</v>
      </c>
      <c r="G395" t="str">
        <f>VLOOKUP(Table28[[#This Row],[SKU]],Supplier_Products[[#All],[Supplier]:[SKU]],3,FALSE)</f>
        <v>ChargePro</v>
      </c>
      <c r="H395" t="str" cm="1">
        <f t="array" ref="H395">_xlfn.XLOOKUP(Table28[[#This Row],[SKU]],Supplier_Products[[#All],[SKU]],Supplier_Products[[#All],[Supplier]])</f>
        <v>ChargePro</v>
      </c>
    </row>
    <row r="396" spans="1:8" x14ac:dyDescent="0.3">
      <c r="A396">
        <v>1395</v>
      </c>
      <c r="B396">
        <v>693</v>
      </c>
      <c r="C396" t="s">
        <v>140</v>
      </c>
      <c r="D396" s="5">
        <v>45451</v>
      </c>
      <c r="E396" t="s">
        <v>187</v>
      </c>
      <c r="F396">
        <v>15</v>
      </c>
      <c r="G396" t="str">
        <f>VLOOKUP(Table28[[#This Row],[SKU]],Supplier_Products[[#All],[Supplier]:[SKU]],3,FALSE)</f>
        <v>SoundWave</v>
      </c>
      <c r="H396" t="str" cm="1">
        <f t="array" ref="H396">_xlfn.XLOOKUP(Table28[[#This Row],[SKU]],Supplier_Products[[#All],[SKU]],Supplier_Products[[#All],[Supplier]])</f>
        <v>SoundWave</v>
      </c>
    </row>
    <row r="397" spans="1:8" x14ac:dyDescent="0.3">
      <c r="A397">
        <v>1396</v>
      </c>
      <c r="B397">
        <v>678</v>
      </c>
      <c r="C397" t="s">
        <v>126</v>
      </c>
      <c r="D397" s="5">
        <v>45591</v>
      </c>
      <c r="E397" t="s">
        <v>191</v>
      </c>
      <c r="F397">
        <v>18</v>
      </c>
      <c r="G397" t="str">
        <f>VLOOKUP(Table28[[#This Row],[SKU]],Supplier_Products[[#All],[Supplier]:[SKU]],3,FALSE)</f>
        <v>FitTech</v>
      </c>
      <c r="H397" t="str" cm="1">
        <f t="array" ref="H397">_xlfn.XLOOKUP(Table28[[#This Row],[SKU]],Supplier_Products[[#All],[SKU]],Supplier_Products[[#All],[Supplier]])</f>
        <v>FitTech</v>
      </c>
    </row>
    <row r="398" spans="1:8" x14ac:dyDescent="0.3">
      <c r="A398">
        <v>1397</v>
      </c>
      <c r="B398">
        <v>655</v>
      </c>
      <c r="C398" t="s">
        <v>126</v>
      </c>
      <c r="D398" s="5">
        <v>45565</v>
      </c>
      <c r="E398" t="s">
        <v>191</v>
      </c>
      <c r="F398">
        <v>20</v>
      </c>
      <c r="G398" t="str">
        <f>VLOOKUP(Table28[[#This Row],[SKU]],Supplier_Products[[#All],[Supplier]:[SKU]],3,FALSE)</f>
        <v>FitTech</v>
      </c>
      <c r="H398" t="str" cm="1">
        <f t="array" ref="H398">_xlfn.XLOOKUP(Table28[[#This Row],[SKU]],Supplier_Products[[#All],[SKU]],Supplier_Products[[#All],[Supplier]])</f>
        <v>FitTech</v>
      </c>
    </row>
    <row r="399" spans="1:8" x14ac:dyDescent="0.3">
      <c r="A399">
        <v>1398</v>
      </c>
      <c r="B399">
        <v>710</v>
      </c>
      <c r="C399" t="s">
        <v>175</v>
      </c>
      <c r="D399" s="5">
        <v>45302</v>
      </c>
      <c r="E399" t="s">
        <v>186</v>
      </c>
      <c r="F399">
        <v>15</v>
      </c>
      <c r="G399" t="str">
        <f>VLOOKUP(Table28[[#This Row],[SKU]],Supplier_Products[[#All],[Supplier]:[SKU]],3,FALSE)</f>
        <v>DisplayPro</v>
      </c>
      <c r="H399" t="str" cm="1">
        <f t="array" ref="H399">_xlfn.XLOOKUP(Table28[[#This Row],[SKU]],Supplier_Products[[#All],[SKU]],Supplier_Products[[#All],[Supplier]])</f>
        <v>DisplayPro</v>
      </c>
    </row>
    <row r="400" spans="1:8" x14ac:dyDescent="0.3">
      <c r="A400">
        <v>1399</v>
      </c>
      <c r="B400">
        <v>721</v>
      </c>
      <c r="C400" t="s">
        <v>7</v>
      </c>
      <c r="D400" s="5">
        <v>45460</v>
      </c>
      <c r="E400" t="s">
        <v>13</v>
      </c>
      <c r="F400">
        <v>8</v>
      </c>
      <c r="G400" t="str">
        <f>VLOOKUP(Table28[[#This Row],[SKU]],Supplier_Products[[#All],[Supplier]:[SKU]],3,FALSE)</f>
        <v>SoundCo</v>
      </c>
      <c r="H400" t="str" cm="1">
        <f t="array" ref="H400">_xlfn.XLOOKUP(Table28[[#This Row],[SKU]],Supplier_Products[[#All],[SKU]],Supplier_Products[[#All],[Supplier]])</f>
        <v>SoundCo</v>
      </c>
    </row>
    <row r="401" spans="1:8" x14ac:dyDescent="0.3">
      <c r="A401">
        <v>1400</v>
      </c>
      <c r="B401">
        <v>697</v>
      </c>
      <c r="C401" t="s">
        <v>175</v>
      </c>
      <c r="D401" s="5">
        <v>45612</v>
      </c>
      <c r="E401" t="s">
        <v>186</v>
      </c>
      <c r="F401">
        <v>2</v>
      </c>
      <c r="G401" t="str">
        <f>VLOOKUP(Table28[[#This Row],[SKU]],Supplier_Products[[#All],[Supplier]:[SKU]],3,FALSE)</f>
        <v>DisplayPro</v>
      </c>
      <c r="H401" t="str" cm="1">
        <f t="array" ref="H401">_xlfn.XLOOKUP(Table28[[#This Row],[SKU]],Supplier_Products[[#All],[SKU]],Supplier_Products[[#All],[Supplier]])</f>
        <v>DisplayPro</v>
      </c>
    </row>
    <row r="402" spans="1:8" x14ac:dyDescent="0.3">
      <c r="A402">
        <v>1401</v>
      </c>
      <c r="B402">
        <v>648</v>
      </c>
      <c r="C402" t="s">
        <v>9</v>
      </c>
      <c r="D402" s="5">
        <v>45547</v>
      </c>
      <c r="E402" t="s">
        <v>14</v>
      </c>
      <c r="F402">
        <v>2</v>
      </c>
      <c r="G402" t="str">
        <f>VLOOKUP(Table28[[#This Row],[SKU]],Supplier_Products[[#All],[Supplier]:[SKU]],3,FALSE)</f>
        <v>CompuTech</v>
      </c>
      <c r="H402" t="str" cm="1">
        <f t="array" ref="H402">_xlfn.XLOOKUP(Table28[[#This Row],[SKU]],Supplier_Products[[#All],[SKU]],Supplier_Products[[#All],[Supplier]])</f>
        <v>CompuTech</v>
      </c>
    </row>
    <row r="403" spans="1:8" x14ac:dyDescent="0.3">
      <c r="A403">
        <v>1402</v>
      </c>
      <c r="B403">
        <v>633</v>
      </c>
      <c r="C403" t="s">
        <v>6</v>
      </c>
      <c r="D403" s="5">
        <v>45551</v>
      </c>
      <c r="E403" t="s">
        <v>12</v>
      </c>
      <c r="F403">
        <v>12</v>
      </c>
      <c r="G403" t="str">
        <f>VLOOKUP(Table28[[#This Row],[SKU]],Supplier_Products[[#All],[Supplier]:[SKU]],3,FALSE)</f>
        <v>TechCorp</v>
      </c>
      <c r="H403" t="str" cm="1">
        <f t="array" ref="H403">_xlfn.XLOOKUP(Table28[[#This Row],[SKU]],Supplier_Products[[#All],[SKU]],Supplier_Products[[#All],[Supplier]])</f>
        <v>TechCorp</v>
      </c>
    </row>
    <row r="404" spans="1:8" x14ac:dyDescent="0.3">
      <c r="A404">
        <v>1403</v>
      </c>
      <c r="B404">
        <v>677</v>
      </c>
      <c r="C404" t="s">
        <v>169</v>
      </c>
      <c r="D404" s="5">
        <v>45370</v>
      </c>
      <c r="E404" t="s">
        <v>14</v>
      </c>
      <c r="F404">
        <v>6</v>
      </c>
      <c r="G404" t="str">
        <f>VLOOKUP(Table28[[#This Row],[SKU]],Supplier_Products[[#All],[Supplier]:[SKU]],3,FALSE)</f>
        <v>SafeDrive</v>
      </c>
      <c r="H404" t="str" cm="1">
        <f t="array" ref="H404">_xlfn.XLOOKUP(Table28[[#This Row],[SKU]],Supplier_Products[[#All],[SKU]],Supplier_Products[[#All],[Supplier]])</f>
        <v>SafeDrive</v>
      </c>
    </row>
    <row r="405" spans="1:8" x14ac:dyDescent="0.3">
      <c r="A405">
        <v>1404</v>
      </c>
      <c r="B405">
        <v>587</v>
      </c>
      <c r="C405" t="s">
        <v>184</v>
      </c>
      <c r="D405" s="5">
        <v>45430</v>
      </c>
      <c r="E405" t="s">
        <v>189</v>
      </c>
      <c r="F405">
        <v>13</v>
      </c>
      <c r="G405" t="str">
        <f>VLOOKUP(Table28[[#This Row],[SKU]],Supplier_Products[[#All],[Supplier]:[SKU]],3,FALSE)</f>
        <v>VisionTech</v>
      </c>
      <c r="H405" t="str" cm="1">
        <f t="array" ref="H405">_xlfn.XLOOKUP(Table28[[#This Row],[SKU]],Supplier_Products[[#All],[SKU]],Supplier_Products[[#All],[Supplier]])</f>
        <v>VisionTech</v>
      </c>
    </row>
    <row r="406" spans="1:8" x14ac:dyDescent="0.3">
      <c r="A406">
        <v>1405</v>
      </c>
      <c r="B406">
        <v>506</v>
      </c>
      <c r="C406" t="s">
        <v>129</v>
      </c>
      <c r="D406" s="5">
        <v>45586</v>
      </c>
      <c r="E406" t="s">
        <v>12</v>
      </c>
      <c r="F406">
        <v>10</v>
      </c>
      <c r="G406" t="str">
        <f>VLOOKUP(Table28[[#This Row],[SKU]],Supplier_Products[[#All],[Supplier]:[SKU]],3,FALSE)</f>
        <v>StreamIt</v>
      </c>
      <c r="H406" t="str" cm="1">
        <f t="array" ref="H406">_xlfn.XLOOKUP(Table28[[#This Row],[SKU]],Supplier_Products[[#All],[SKU]],Supplier_Products[[#All],[Supplier]])</f>
        <v>StreamIt</v>
      </c>
    </row>
    <row r="407" spans="1:8" x14ac:dyDescent="0.3">
      <c r="A407">
        <v>1406</v>
      </c>
      <c r="B407">
        <v>556</v>
      </c>
      <c r="C407" t="s">
        <v>175</v>
      </c>
      <c r="D407" s="5">
        <v>45373</v>
      </c>
      <c r="E407" t="s">
        <v>186</v>
      </c>
      <c r="F407">
        <v>16</v>
      </c>
      <c r="G407" t="str">
        <f>VLOOKUP(Table28[[#This Row],[SKU]],Supplier_Products[[#All],[Supplier]:[SKU]],3,FALSE)</f>
        <v>DisplayPro</v>
      </c>
      <c r="H407" t="str" cm="1">
        <f t="array" ref="H407">_xlfn.XLOOKUP(Table28[[#This Row],[SKU]],Supplier_Products[[#All],[SKU]],Supplier_Products[[#All],[Supplier]])</f>
        <v>DisplayPro</v>
      </c>
    </row>
    <row r="408" spans="1:8" x14ac:dyDescent="0.3">
      <c r="A408">
        <v>1407</v>
      </c>
      <c r="B408">
        <v>614</v>
      </c>
      <c r="C408" t="s">
        <v>158</v>
      </c>
      <c r="D408" s="5">
        <v>45571</v>
      </c>
      <c r="E408" t="s">
        <v>186</v>
      </c>
      <c r="F408">
        <v>14</v>
      </c>
      <c r="G408" t="str">
        <f>VLOOKUP(Table28[[#This Row],[SKU]],Supplier_Products[[#All],[Supplier]:[SKU]],3,FALSE)</f>
        <v>ClickTech</v>
      </c>
      <c r="H408" t="str" cm="1">
        <f t="array" ref="H408">_xlfn.XLOOKUP(Table28[[#This Row],[SKU]],Supplier_Products[[#All],[SKU]],Supplier_Products[[#All],[Supplier]])</f>
        <v>ClickTech</v>
      </c>
    </row>
    <row r="409" spans="1:8" x14ac:dyDescent="0.3">
      <c r="A409">
        <v>1408</v>
      </c>
      <c r="B409">
        <v>679</v>
      </c>
      <c r="C409" t="s">
        <v>73</v>
      </c>
      <c r="D409" s="5">
        <v>45593</v>
      </c>
      <c r="E409" t="s">
        <v>186</v>
      </c>
      <c r="F409">
        <v>2</v>
      </c>
      <c r="G409" t="str">
        <f>VLOOKUP(Table28[[#This Row],[SKU]],Supplier_Products[[#All],[Supplier]:[SKU]],3,FALSE)</f>
        <v>ClickTech</v>
      </c>
      <c r="H409" t="str" cm="1">
        <f t="array" ref="H409">_xlfn.XLOOKUP(Table28[[#This Row],[SKU]],Supplier_Products[[#All],[SKU]],Supplier_Products[[#All],[Supplier]])</f>
        <v>ClickTech</v>
      </c>
    </row>
    <row r="410" spans="1:8" x14ac:dyDescent="0.3">
      <c r="A410">
        <v>1409</v>
      </c>
      <c r="B410">
        <v>588</v>
      </c>
      <c r="C410" t="s">
        <v>173</v>
      </c>
      <c r="D410" s="5">
        <v>45547</v>
      </c>
      <c r="E410" t="s">
        <v>14</v>
      </c>
      <c r="F410">
        <v>16</v>
      </c>
      <c r="G410" t="str">
        <f>VLOOKUP(Table28[[#This Row],[SKU]],Supplier_Products[[#All],[Supplier]:[SKU]],3,FALSE)</f>
        <v>SafeTech</v>
      </c>
      <c r="H410" t="str" cm="1">
        <f t="array" ref="H410">_xlfn.XLOOKUP(Table28[[#This Row],[SKU]],Supplier_Products[[#All],[SKU]],Supplier_Products[[#All],[Supplier]])</f>
        <v>SafeTech</v>
      </c>
    </row>
    <row r="411" spans="1:8" x14ac:dyDescent="0.3">
      <c r="A411">
        <v>1410</v>
      </c>
      <c r="B411">
        <v>610</v>
      </c>
      <c r="C411" t="s">
        <v>126</v>
      </c>
      <c r="D411" s="5">
        <v>45497</v>
      </c>
      <c r="E411" t="s">
        <v>191</v>
      </c>
      <c r="F411">
        <v>18</v>
      </c>
      <c r="G411" t="str">
        <f>VLOOKUP(Table28[[#This Row],[SKU]],Supplier_Products[[#All],[Supplier]:[SKU]],3,FALSE)</f>
        <v>FitTech</v>
      </c>
      <c r="H411" t="str" cm="1">
        <f t="array" ref="H411">_xlfn.XLOOKUP(Table28[[#This Row],[SKU]],Supplier_Products[[#All],[SKU]],Supplier_Products[[#All],[Supplier]])</f>
        <v>FitTech</v>
      </c>
    </row>
    <row r="412" spans="1:8" x14ac:dyDescent="0.3">
      <c r="A412">
        <v>1411</v>
      </c>
      <c r="B412">
        <v>568</v>
      </c>
      <c r="C412" t="s">
        <v>72</v>
      </c>
      <c r="D412" s="5">
        <v>45460</v>
      </c>
      <c r="E412" t="s">
        <v>187</v>
      </c>
      <c r="F412">
        <v>10</v>
      </c>
      <c r="G412" t="str">
        <f>VLOOKUP(Table28[[#This Row],[SKU]],Supplier_Products[[#All],[Supplier]:[SKU]],3,FALSE)</f>
        <v>SoundWave</v>
      </c>
      <c r="H412" t="str" cm="1">
        <f t="array" ref="H412">_xlfn.XLOOKUP(Table28[[#This Row],[SKU]],Supplier_Products[[#All],[SKU]],Supplier_Products[[#All],[Supplier]])</f>
        <v>SoundWave</v>
      </c>
    </row>
    <row r="413" spans="1:8" x14ac:dyDescent="0.3">
      <c r="A413">
        <v>1412</v>
      </c>
      <c r="B413">
        <v>736</v>
      </c>
      <c r="C413" t="s">
        <v>154</v>
      </c>
      <c r="D413" s="5">
        <v>45422</v>
      </c>
      <c r="E413" t="s">
        <v>187</v>
      </c>
      <c r="F413">
        <v>19</v>
      </c>
      <c r="G413" t="str">
        <f>VLOOKUP(Table28[[#This Row],[SKU]],Supplier_Products[[#All],[Supplier]:[SKU]],3,FALSE)</f>
        <v>ShutterPro</v>
      </c>
      <c r="H413" t="str" cm="1">
        <f t="array" ref="H413">_xlfn.XLOOKUP(Table28[[#This Row],[SKU]],Supplier_Products[[#All],[SKU]],Supplier_Products[[#All],[Supplier]])</f>
        <v>ShutterPro</v>
      </c>
    </row>
    <row r="414" spans="1:8" x14ac:dyDescent="0.3">
      <c r="A414">
        <v>1413</v>
      </c>
      <c r="B414">
        <v>732</v>
      </c>
      <c r="C414" t="s">
        <v>114</v>
      </c>
      <c r="D414" s="5">
        <v>45643</v>
      </c>
      <c r="E414" t="s">
        <v>189</v>
      </c>
      <c r="F414">
        <v>20</v>
      </c>
      <c r="G414" t="str">
        <f>VLOOKUP(Table28[[#This Row],[SKU]],Supplier_Products[[#All],[Supplier]:[SKU]],3,FALSE)</f>
        <v>VisionTech</v>
      </c>
      <c r="H414" t="str" cm="1">
        <f t="array" ref="H414">_xlfn.XLOOKUP(Table28[[#This Row],[SKU]],Supplier_Products[[#All],[SKU]],Supplier_Products[[#All],[Supplier]])</f>
        <v>VisionTech</v>
      </c>
    </row>
    <row r="415" spans="1:8" x14ac:dyDescent="0.3">
      <c r="A415">
        <v>1414</v>
      </c>
      <c r="B415">
        <v>628</v>
      </c>
      <c r="C415" t="s">
        <v>6</v>
      </c>
      <c r="D415" s="5">
        <v>45569</v>
      </c>
      <c r="E415" t="s">
        <v>12</v>
      </c>
      <c r="F415">
        <v>18</v>
      </c>
      <c r="G415" t="str">
        <f>VLOOKUP(Table28[[#This Row],[SKU]],Supplier_Products[[#All],[Supplier]:[SKU]],3,FALSE)</f>
        <v>TechCorp</v>
      </c>
      <c r="H415" t="str" cm="1">
        <f t="array" ref="H415">_xlfn.XLOOKUP(Table28[[#This Row],[SKU]],Supplier_Products[[#All],[SKU]],Supplier_Products[[#All],[Supplier]])</f>
        <v>TechCorp</v>
      </c>
    </row>
    <row r="416" spans="1:8" x14ac:dyDescent="0.3">
      <c r="A416">
        <v>1415</v>
      </c>
      <c r="B416">
        <v>636</v>
      </c>
      <c r="C416" t="s">
        <v>175</v>
      </c>
      <c r="D416" s="5">
        <v>45600</v>
      </c>
      <c r="E416" t="s">
        <v>186</v>
      </c>
      <c r="F416">
        <v>7</v>
      </c>
      <c r="G416" t="str">
        <f>VLOOKUP(Table28[[#This Row],[SKU]],Supplier_Products[[#All],[Supplier]:[SKU]],3,FALSE)</f>
        <v>DisplayPro</v>
      </c>
      <c r="H416" t="str" cm="1">
        <f t="array" ref="H416">_xlfn.XLOOKUP(Table28[[#This Row],[SKU]],Supplier_Products[[#All],[SKU]],Supplier_Products[[#All],[Supplier]])</f>
        <v>DisplayPro</v>
      </c>
    </row>
    <row r="417" spans="1:8" x14ac:dyDescent="0.3">
      <c r="A417">
        <v>1416</v>
      </c>
      <c r="B417">
        <v>695</v>
      </c>
      <c r="C417" t="s">
        <v>148</v>
      </c>
      <c r="D417" s="5">
        <v>45373</v>
      </c>
      <c r="E417" t="s">
        <v>12</v>
      </c>
      <c r="F417">
        <v>8</v>
      </c>
      <c r="G417" t="str">
        <f>VLOOKUP(Table28[[#This Row],[SKU]],Supplier_Products[[#All],[Supplier]:[SKU]],3,FALSE)</f>
        <v>ChargePro</v>
      </c>
      <c r="H417" t="str" cm="1">
        <f t="array" ref="H417">_xlfn.XLOOKUP(Table28[[#This Row],[SKU]],Supplier_Products[[#All],[SKU]],Supplier_Products[[#All],[Supplier]])</f>
        <v>ChargePro</v>
      </c>
    </row>
    <row r="418" spans="1:8" x14ac:dyDescent="0.3">
      <c r="A418">
        <v>1417</v>
      </c>
      <c r="B418">
        <v>559</v>
      </c>
      <c r="C418" t="s">
        <v>142</v>
      </c>
      <c r="D418" s="5">
        <v>45364</v>
      </c>
      <c r="E418" t="s">
        <v>186</v>
      </c>
      <c r="F418">
        <v>19</v>
      </c>
      <c r="G418" t="str">
        <f>VLOOKUP(Table28[[#This Row],[SKU]],Supplier_Products[[#All],[Supplier]:[SKU]],3,FALSE)</f>
        <v>GPUForce</v>
      </c>
      <c r="H418" t="str" cm="1">
        <f t="array" ref="H418">_xlfn.XLOOKUP(Table28[[#This Row],[SKU]],Supplier_Products[[#All],[SKU]],Supplier_Products[[#All],[Supplier]])</f>
        <v>GPUForce</v>
      </c>
    </row>
    <row r="419" spans="1:8" x14ac:dyDescent="0.3">
      <c r="A419">
        <v>1418</v>
      </c>
      <c r="B419">
        <v>663</v>
      </c>
      <c r="C419" t="s">
        <v>72</v>
      </c>
      <c r="D419" s="5">
        <v>45308</v>
      </c>
      <c r="E419" t="s">
        <v>187</v>
      </c>
      <c r="F419">
        <v>15</v>
      </c>
      <c r="G419" t="str">
        <f>VLOOKUP(Table28[[#This Row],[SKU]],Supplier_Products[[#All],[Supplier]:[SKU]],3,FALSE)</f>
        <v>SoundWave</v>
      </c>
      <c r="H419" t="str" cm="1">
        <f t="array" ref="H419">_xlfn.XLOOKUP(Table28[[#This Row],[SKU]],Supplier_Products[[#All],[SKU]],Supplier_Products[[#All],[Supplier]])</f>
        <v>SoundWave</v>
      </c>
    </row>
    <row r="420" spans="1:8" x14ac:dyDescent="0.3">
      <c r="A420">
        <v>1419</v>
      </c>
      <c r="B420">
        <v>671</v>
      </c>
      <c r="C420" t="s">
        <v>181</v>
      </c>
      <c r="D420" s="5">
        <v>45556</v>
      </c>
      <c r="E420" t="s">
        <v>12</v>
      </c>
      <c r="F420">
        <v>8</v>
      </c>
      <c r="G420" t="str">
        <f>VLOOKUP(Table28[[#This Row],[SKU]],Supplier_Products[[#All],[Supplier]:[SKU]],3,FALSE)</f>
        <v>PhotoFrame Inc.</v>
      </c>
      <c r="H420" t="str" cm="1">
        <f t="array" ref="H420">_xlfn.XLOOKUP(Table28[[#This Row],[SKU]],Supplier_Products[[#All],[SKU]],Supplier_Products[[#All],[Supplier]])</f>
        <v>PhotoFrame Inc.</v>
      </c>
    </row>
    <row r="421" spans="1:8" x14ac:dyDescent="0.3">
      <c r="A421">
        <v>1420</v>
      </c>
      <c r="B421">
        <v>702</v>
      </c>
      <c r="C421" t="s">
        <v>126</v>
      </c>
      <c r="D421" s="5">
        <v>45471</v>
      </c>
      <c r="E421" t="s">
        <v>191</v>
      </c>
      <c r="F421">
        <v>19</v>
      </c>
      <c r="G421" t="str">
        <f>VLOOKUP(Table28[[#This Row],[SKU]],Supplier_Products[[#All],[Supplier]:[SKU]],3,FALSE)</f>
        <v>FitTech</v>
      </c>
      <c r="H421" t="str" cm="1">
        <f t="array" ref="H421">_xlfn.XLOOKUP(Table28[[#This Row],[SKU]],Supplier_Products[[#All],[SKU]],Supplier_Products[[#All],[Supplier]])</f>
        <v>FitTech</v>
      </c>
    </row>
    <row r="422" spans="1:8" x14ac:dyDescent="0.3">
      <c r="A422">
        <v>1421</v>
      </c>
      <c r="B422">
        <v>537</v>
      </c>
      <c r="C422" t="s">
        <v>158</v>
      </c>
      <c r="D422" s="5">
        <v>45610</v>
      </c>
      <c r="E422" t="s">
        <v>186</v>
      </c>
      <c r="F422">
        <v>1</v>
      </c>
      <c r="G422" t="str">
        <f>VLOOKUP(Table28[[#This Row],[SKU]],Supplier_Products[[#All],[Supplier]:[SKU]],3,FALSE)</f>
        <v>ClickTech</v>
      </c>
      <c r="H422" t="str" cm="1">
        <f t="array" ref="H422">_xlfn.XLOOKUP(Table28[[#This Row],[SKU]],Supplier_Products[[#All],[SKU]],Supplier_Products[[#All],[Supplier]])</f>
        <v>ClickTech</v>
      </c>
    </row>
    <row r="423" spans="1:8" x14ac:dyDescent="0.3">
      <c r="A423">
        <v>1422</v>
      </c>
      <c r="B423">
        <v>646</v>
      </c>
      <c r="C423" t="s">
        <v>173</v>
      </c>
      <c r="D423" s="5">
        <v>45331</v>
      </c>
      <c r="E423" t="s">
        <v>14</v>
      </c>
      <c r="F423">
        <v>16</v>
      </c>
      <c r="G423" t="str">
        <f>VLOOKUP(Table28[[#This Row],[SKU]],Supplier_Products[[#All],[Supplier]:[SKU]],3,FALSE)</f>
        <v>SafeTech</v>
      </c>
      <c r="H423" t="str" cm="1">
        <f t="array" ref="H423">_xlfn.XLOOKUP(Table28[[#This Row],[SKU]],Supplier_Products[[#All],[SKU]],Supplier_Products[[#All],[Supplier]])</f>
        <v>SafeTech</v>
      </c>
    </row>
    <row r="424" spans="1:8" x14ac:dyDescent="0.3">
      <c r="A424">
        <v>1423</v>
      </c>
      <c r="B424">
        <v>538</v>
      </c>
      <c r="C424" t="s">
        <v>154</v>
      </c>
      <c r="D424" s="5">
        <v>45657</v>
      </c>
      <c r="E424" t="s">
        <v>187</v>
      </c>
      <c r="F424">
        <v>20</v>
      </c>
      <c r="G424" t="str">
        <f>VLOOKUP(Table28[[#This Row],[SKU]],Supplier_Products[[#All],[Supplier]:[SKU]],3,FALSE)</f>
        <v>ShutterPro</v>
      </c>
      <c r="H424" t="str" cm="1">
        <f t="array" ref="H424">_xlfn.XLOOKUP(Table28[[#This Row],[SKU]],Supplier_Products[[#All],[SKU]],Supplier_Products[[#All],[Supplier]])</f>
        <v>ShutterPro</v>
      </c>
    </row>
    <row r="425" spans="1:8" x14ac:dyDescent="0.3">
      <c r="A425">
        <v>1424</v>
      </c>
      <c r="B425">
        <v>610</v>
      </c>
      <c r="C425" t="s">
        <v>133</v>
      </c>
      <c r="D425" s="5">
        <v>45343</v>
      </c>
      <c r="E425" t="s">
        <v>14</v>
      </c>
      <c r="F425">
        <v>4</v>
      </c>
      <c r="G425" t="str">
        <f>VLOOKUP(Table28[[#This Row],[SKU]],Supplier_Products[[#All],[Supplier]:[SKU]],3,FALSE)</f>
        <v>SafeTech</v>
      </c>
      <c r="H425" t="str" cm="1">
        <f t="array" ref="H425">_xlfn.XLOOKUP(Table28[[#This Row],[SKU]],Supplier_Products[[#All],[SKU]],Supplier_Products[[#All],[Supplier]])</f>
        <v>SafeTech</v>
      </c>
    </row>
    <row r="426" spans="1:8" x14ac:dyDescent="0.3">
      <c r="A426">
        <v>1425</v>
      </c>
      <c r="B426">
        <v>583</v>
      </c>
      <c r="C426" t="s">
        <v>129</v>
      </c>
      <c r="D426" s="5">
        <v>45437</v>
      </c>
      <c r="E426" t="s">
        <v>12</v>
      </c>
      <c r="F426">
        <v>9</v>
      </c>
      <c r="G426" t="str">
        <f>VLOOKUP(Table28[[#This Row],[SKU]],Supplier_Products[[#All],[Supplier]:[SKU]],3,FALSE)</f>
        <v>StreamIt</v>
      </c>
      <c r="H426" t="str" cm="1">
        <f t="array" ref="H426">_xlfn.XLOOKUP(Table28[[#This Row],[SKU]],Supplier_Products[[#All],[SKU]],Supplier_Products[[#All],[Supplier]])</f>
        <v>StreamIt</v>
      </c>
    </row>
    <row r="427" spans="1:8" x14ac:dyDescent="0.3">
      <c r="A427">
        <v>1426</v>
      </c>
      <c r="B427">
        <v>578</v>
      </c>
      <c r="C427" t="s">
        <v>10</v>
      </c>
      <c r="D427" s="5">
        <v>45628</v>
      </c>
      <c r="E427" t="s">
        <v>13</v>
      </c>
      <c r="F427">
        <v>5</v>
      </c>
      <c r="G427" t="str">
        <f>VLOOKUP(Table28[[#This Row],[SKU]],Supplier_Products[[#All],[Supplier]:[SKU]],3,FALSE)</f>
        <v>TabletMakers</v>
      </c>
      <c r="H427" t="str" cm="1">
        <f t="array" ref="H427">_xlfn.XLOOKUP(Table28[[#This Row],[SKU]],Supplier_Products[[#All],[SKU]],Supplier_Products[[#All],[Supplier]])</f>
        <v>TabletMakers</v>
      </c>
    </row>
    <row r="428" spans="1:8" x14ac:dyDescent="0.3">
      <c r="A428">
        <v>1427</v>
      </c>
      <c r="B428">
        <v>562</v>
      </c>
      <c r="C428" t="s">
        <v>73</v>
      </c>
      <c r="D428" s="5">
        <v>45467</v>
      </c>
      <c r="E428" t="s">
        <v>186</v>
      </c>
      <c r="F428">
        <v>7</v>
      </c>
      <c r="G428" t="str">
        <f>VLOOKUP(Table28[[#This Row],[SKU]],Supplier_Products[[#All],[Supplier]:[SKU]],3,FALSE)</f>
        <v>ClickTech</v>
      </c>
      <c r="H428" t="str" cm="1">
        <f t="array" ref="H428">_xlfn.XLOOKUP(Table28[[#This Row],[SKU]],Supplier_Products[[#All],[SKU]],Supplier_Products[[#All],[Supplier]])</f>
        <v>ClickTech</v>
      </c>
    </row>
    <row r="429" spans="1:8" x14ac:dyDescent="0.3">
      <c r="A429">
        <v>1428</v>
      </c>
      <c r="B429">
        <v>574</v>
      </c>
      <c r="C429" t="s">
        <v>173</v>
      </c>
      <c r="D429" s="5">
        <v>45510</v>
      </c>
      <c r="E429" t="s">
        <v>14</v>
      </c>
      <c r="F429">
        <v>6</v>
      </c>
      <c r="G429" t="str">
        <f>VLOOKUP(Table28[[#This Row],[SKU]],Supplier_Products[[#All],[Supplier]:[SKU]],3,FALSE)</f>
        <v>SafeTech</v>
      </c>
      <c r="H429" t="str" cm="1">
        <f t="array" ref="H429">_xlfn.XLOOKUP(Table28[[#This Row],[SKU]],Supplier_Products[[#All],[SKU]],Supplier_Products[[#All],[Supplier]])</f>
        <v>SafeTech</v>
      </c>
    </row>
    <row r="430" spans="1:8" x14ac:dyDescent="0.3">
      <c r="A430">
        <v>1429</v>
      </c>
      <c r="B430">
        <v>590</v>
      </c>
      <c r="C430" t="s">
        <v>145</v>
      </c>
      <c r="D430" s="5">
        <v>45631</v>
      </c>
      <c r="E430" t="s">
        <v>190</v>
      </c>
      <c r="F430">
        <v>16</v>
      </c>
      <c r="G430" t="str">
        <f>VLOOKUP(Table28[[#This Row],[SKU]],Supplier_Products[[#All],[Supplier]:[SKU]],3,FALSE)</f>
        <v>BrightHome</v>
      </c>
      <c r="H430" t="str" cm="1">
        <f t="array" ref="H430">_xlfn.XLOOKUP(Table28[[#This Row],[SKU]],Supplier_Products[[#All],[SKU]],Supplier_Products[[#All],[Supplier]])</f>
        <v>BrightHome</v>
      </c>
    </row>
    <row r="431" spans="1:8" x14ac:dyDescent="0.3">
      <c r="A431">
        <v>1430</v>
      </c>
      <c r="B431">
        <v>683</v>
      </c>
      <c r="C431" t="s">
        <v>7</v>
      </c>
      <c r="D431" s="5">
        <v>45616</v>
      </c>
      <c r="E431" t="s">
        <v>13</v>
      </c>
      <c r="F431">
        <v>8</v>
      </c>
      <c r="G431" t="str">
        <f>VLOOKUP(Table28[[#This Row],[SKU]],Supplier_Products[[#All],[Supplier]:[SKU]],3,FALSE)</f>
        <v>SoundCo</v>
      </c>
      <c r="H431" t="str" cm="1">
        <f t="array" ref="H431">_xlfn.XLOOKUP(Table28[[#This Row],[SKU]],Supplier_Products[[#All],[SKU]],Supplier_Products[[#All],[Supplier]])</f>
        <v>SoundCo</v>
      </c>
    </row>
    <row r="432" spans="1:8" x14ac:dyDescent="0.3">
      <c r="A432">
        <v>1431</v>
      </c>
      <c r="B432">
        <v>629</v>
      </c>
      <c r="C432" t="s">
        <v>175</v>
      </c>
      <c r="D432" s="5">
        <v>45466</v>
      </c>
      <c r="E432" t="s">
        <v>186</v>
      </c>
      <c r="F432">
        <v>1</v>
      </c>
      <c r="G432" t="str">
        <f>VLOOKUP(Table28[[#This Row],[SKU]],Supplier_Products[[#All],[Supplier]:[SKU]],3,FALSE)</f>
        <v>DisplayPro</v>
      </c>
      <c r="H432" t="str" cm="1">
        <f t="array" ref="H432">_xlfn.XLOOKUP(Table28[[#This Row],[SKU]],Supplier_Products[[#All],[SKU]],Supplier_Products[[#All],[Supplier]])</f>
        <v>DisplayPro</v>
      </c>
    </row>
    <row r="433" spans="1:8" x14ac:dyDescent="0.3">
      <c r="A433">
        <v>1432</v>
      </c>
      <c r="B433">
        <v>563</v>
      </c>
      <c r="C433" t="s">
        <v>137</v>
      </c>
      <c r="D433" s="5">
        <v>45427</v>
      </c>
      <c r="E433" t="s">
        <v>188</v>
      </c>
      <c r="F433">
        <v>15</v>
      </c>
      <c r="G433" t="str">
        <f>VLOOKUP(Table28[[#This Row],[SKU]],Supplier_Products[[#All],[Supplier]:[SKU]],3,FALSE)</f>
        <v>CleanBot</v>
      </c>
      <c r="H433" t="str" cm="1">
        <f t="array" ref="H433">_xlfn.XLOOKUP(Table28[[#This Row],[SKU]],Supplier_Products[[#All],[SKU]],Supplier_Products[[#All],[Supplier]])</f>
        <v>CleanBot</v>
      </c>
    </row>
    <row r="434" spans="1:8" x14ac:dyDescent="0.3">
      <c r="A434">
        <v>1433</v>
      </c>
      <c r="B434">
        <v>505</v>
      </c>
      <c r="C434" t="s">
        <v>175</v>
      </c>
      <c r="D434" s="5">
        <v>45462</v>
      </c>
      <c r="E434" t="s">
        <v>186</v>
      </c>
      <c r="F434">
        <v>19</v>
      </c>
      <c r="G434" t="str">
        <f>VLOOKUP(Table28[[#This Row],[SKU]],Supplier_Products[[#All],[Supplier]:[SKU]],3,FALSE)</f>
        <v>DisplayPro</v>
      </c>
      <c r="H434" t="str" cm="1">
        <f t="array" ref="H434">_xlfn.XLOOKUP(Table28[[#This Row],[SKU]],Supplier_Products[[#All],[SKU]],Supplier_Products[[#All],[Supplier]])</f>
        <v>DisplayPro</v>
      </c>
    </row>
    <row r="435" spans="1:8" x14ac:dyDescent="0.3">
      <c r="A435">
        <v>1434</v>
      </c>
      <c r="B435">
        <v>673</v>
      </c>
      <c r="C435" t="s">
        <v>142</v>
      </c>
      <c r="D435" s="5">
        <v>45307</v>
      </c>
      <c r="E435" t="s">
        <v>186</v>
      </c>
      <c r="F435">
        <v>17</v>
      </c>
      <c r="G435" t="str">
        <f>VLOOKUP(Table28[[#This Row],[SKU]],Supplier_Products[[#All],[Supplier]:[SKU]],3,FALSE)</f>
        <v>GPUForce</v>
      </c>
      <c r="H435" t="str" cm="1">
        <f t="array" ref="H435">_xlfn.XLOOKUP(Table28[[#This Row],[SKU]],Supplier_Products[[#All],[SKU]],Supplier_Products[[#All],[Supplier]])</f>
        <v>GPUForce</v>
      </c>
    </row>
    <row r="436" spans="1:8" x14ac:dyDescent="0.3">
      <c r="A436">
        <v>1435</v>
      </c>
      <c r="B436">
        <v>622</v>
      </c>
      <c r="C436" t="s">
        <v>148</v>
      </c>
      <c r="D436" s="5">
        <v>45374</v>
      </c>
      <c r="E436" t="s">
        <v>12</v>
      </c>
      <c r="F436">
        <v>2</v>
      </c>
      <c r="G436" t="str">
        <f>VLOOKUP(Table28[[#This Row],[SKU]],Supplier_Products[[#All],[Supplier]:[SKU]],3,FALSE)</f>
        <v>ChargePro</v>
      </c>
      <c r="H436" t="str" cm="1">
        <f t="array" ref="H436">_xlfn.XLOOKUP(Table28[[#This Row],[SKU]],Supplier_Products[[#All],[SKU]],Supplier_Products[[#All],[Supplier]])</f>
        <v>ChargePro</v>
      </c>
    </row>
    <row r="437" spans="1:8" x14ac:dyDescent="0.3">
      <c r="A437">
        <v>1436</v>
      </c>
      <c r="B437">
        <v>537</v>
      </c>
      <c r="C437" t="s">
        <v>8</v>
      </c>
      <c r="D437" s="5">
        <v>45355</v>
      </c>
      <c r="E437" t="s">
        <v>15</v>
      </c>
      <c r="F437">
        <v>19</v>
      </c>
      <c r="G437" t="str">
        <f>VLOOKUP(Table28[[#This Row],[SKU]],Supplier_Products[[#All],[Supplier]:[SKU]],3,FALSE)</f>
        <v>Wearable Inc.</v>
      </c>
      <c r="H437" t="str" cm="1">
        <f t="array" ref="H437">_xlfn.XLOOKUP(Table28[[#This Row],[SKU]],Supplier_Products[[#All],[SKU]],Supplier_Products[[#All],[Supplier]])</f>
        <v>Wearable Inc.</v>
      </c>
    </row>
    <row r="438" spans="1:8" x14ac:dyDescent="0.3">
      <c r="A438">
        <v>1437</v>
      </c>
      <c r="B438">
        <v>544</v>
      </c>
      <c r="C438" t="s">
        <v>11</v>
      </c>
      <c r="D438" s="5">
        <v>45504</v>
      </c>
      <c r="E438" t="s">
        <v>12</v>
      </c>
      <c r="F438">
        <v>14</v>
      </c>
      <c r="G438" t="str">
        <f>VLOOKUP(Table28[[#This Row],[SKU]],Supplier_Products[[#All],[Supplier]:[SKU]],3,FALSE)</f>
        <v>ChargePro</v>
      </c>
      <c r="H438" t="str" cm="1">
        <f t="array" ref="H438">_xlfn.XLOOKUP(Table28[[#This Row],[SKU]],Supplier_Products[[#All],[SKU]],Supplier_Products[[#All],[Supplier]])</f>
        <v>ChargePro</v>
      </c>
    </row>
    <row r="439" spans="1:8" x14ac:dyDescent="0.3">
      <c r="A439">
        <v>1438</v>
      </c>
      <c r="B439">
        <v>635</v>
      </c>
      <c r="C439" t="s">
        <v>114</v>
      </c>
      <c r="D439" s="5">
        <v>45582</v>
      </c>
      <c r="E439" t="s">
        <v>189</v>
      </c>
      <c r="F439">
        <v>15</v>
      </c>
      <c r="G439" t="str">
        <f>VLOOKUP(Table28[[#This Row],[SKU]],Supplier_Products[[#All],[Supplier]:[SKU]],3,FALSE)</f>
        <v>VisionTech</v>
      </c>
      <c r="H439" t="str" cm="1">
        <f t="array" ref="H439">_xlfn.XLOOKUP(Table28[[#This Row],[SKU]],Supplier_Products[[#All],[SKU]],Supplier_Products[[#All],[Supplier]])</f>
        <v>VisionTech</v>
      </c>
    </row>
    <row r="440" spans="1:8" x14ac:dyDescent="0.3">
      <c r="A440">
        <v>1439</v>
      </c>
      <c r="B440">
        <v>686</v>
      </c>
      <c r="C440" t="s">
        <v>148</v>
      </c>
      <c r="D440" s="5">
        <v>45425</v>
      </c>
      <c r="E440" t="s">
        <v>12</v>
      </c>
      <c r="F440">
        <v>7</v>
      </c>
      <c r="G440" t="str">
        <f>VLOOKUP(Table28[[#This Row],[SKU]],Supplier_Products[[#All],[Supplier]:[SKU]],3,FALSE)</f>
        <v>ChargePro</v>
      </c>
      <c r="H440" t="str" cm="1">
        <f t="array" ref="H440">_xlfn.XLOOKUP(Table28[[#This Row],[SKU]],Supplier_Products[[#All],[SKU]],Supplier_Products[[#All],[Supplier]])</f>
        <v>ChargePro</v>
      </c>
    </row>
    <row r="441" spans="1:8" x14ac:dyDescent="0.3">
      <c r="A441">
        <v>1440</v>
      </c>
      <c r="B441">
        <v>677</v>
      </c>
      <c r="C441" t="s">
        <v>10</v>
      </c>
      <c r="D441" s="5">
        <v>45298</v>
      </c>
      <c r="E441" t="s">
        <v>13</v>
      </c>
      <c r="F441">
        <v>20</v>
      </c>
      <c r="G441" t="str">
        <f>VLOOKUP(Table28[[#This Row],[SKU]],Supplier_Products[[#All],[Supplier]:[SKU]],3,FALSE)</f>
        <v>TabletMakers</v>
      </c>
      <c r="H441" t="str" cm="1">
        <f t="array" ref="H441">_xlfn.XLOOKUP(Table28[[#This Row],[SKU]],Supplier_Products[[#All],[SKU]],Supplier_Products[[#All],[Supplier]])</f>
        <v>TabletMakers</v>
      </c>
    </row>
    <row r="442" spans="1:8" x14ac:dyDescent="0.3">
      <c r="A442">
        <v>1441</v>
      </c>
      <c r="B442">
        <v>513</v>
      </c>
      <c r="C442" t="s">
        <v>166</v>
      </c>
      <c r="D442" s="5">
        <v>45332</v>
      </c>
      <c r="E442" t="s">
        <v>191</v>
      </c>
      <c r="F442">
        <v>12</v>
      </c>
      <c r="G442" t="str">
        <f>VLOOKUP(Table28[[#This Row],[SKU]],Supplier_Products[[#All],[Supplier]:[SKU]],3,FALSE)</f>
        <v>BookTech</v>
      </c>
      <c r="H442" t="str" cm="1">
        <f t="array" ref="H442">_xlfn.XLOOKUP(Table28[[#This Row],[SKU]],Supplier_Products[[#All],[SKU]],Supplier_Products[[#All],[Supplier]])</f>
        <v>BookTech</v>
      </c>
    </row>
    <row r="443" spans="1:8" x14ac:dyDescent="0.3">
      <c r="A443">
        <v>1442</v>
      </c>
      <c r="B443">
        <v>604</v>
      </c>
      <c r="C443" t="s">
        <v>156</v>
      </c>
      <c r="D443" s="5">
        <v>45558</v>
      </c>
      <c r="E443" t="s">
        <v>186</v>
      </c>
      <c r="F443">
        <v>14</v>
      </c>
      <c r="G443" t="str">
        <f>VLOOKUP(Table28[[#This Row],[SKU]],Supplier_Products[[#All],[Supplier]:[SKU]],3,FALSE)</f>
        <v>ClickTech</v>
      </c>
      <c r="H443" t="str" cm="1">
        <f t="array" ref="H443">_xlfn.XLOOKUP(Table28[[#This Row],[SKU]],Supplier_Products[[#All],[SKU]],Supplier_Products[[#All],[Supplier]])</f>
        <v>ClickTech</v>
      </c>
    </row>
    <row r="444" spans="1:8" x14ac:dyDescent="0.3">
      <c r="A444">
        <v>1443</v>
      </c>
      <c r="B444">
        <v>700</v>
      </c>
      <c r="C444" t="s">
        <v>140</v>
      </c>
      <c r="D444" s="5">
        <v>45576</v>
      </c>
      <c r="E444" t="s">
        <v>187</v>
      </c>
      <c r="F444">
        <v>1</v>
      </c>
      <c r="G444" t="str">
        <f>VLOOKUP(Table28[[#This Row],[SKU]],Supplier_Products[[#All],[Supplier]:[SKU]],3,FALSE)</f>
        <v>SoundWave</v>
      </c>
      <c r="H444" t="str" cm="1">
        <f t="array" ref="H444">_xlfn.XLOOKUP(Table28[[#This Row],[SKU]],Supplier_Products[[#All],[SKU]],Supplier_Products[[#All],[Supplier]])</f>
        <v>SoundWave</v>
      </c>
    </row>
    <row r="445" spans="1:8" x14ac:dyDescent="0.3">
      <c r="A445">
        <v>1444</v>
      </c>
      <c r="B445">
        <v>691</v>
      </c>
      <c r="C445" t="s">
        <v>11</v>
      </c>
      <c r="D445" s="5">
        <v>45321</v>
      </c>
      <c r="E445" t="s">
        <v>12</v>
      </c>
      <c r="F445">
        <v>15</v>
      </c>
      <c r="G445" t="str">
        <f>VLOOKUP(Table28[[#This Row],[SKU]],Supplier_Products[[#All],[Supplier]:[SKU]],3,FALSE)</f>
        <v>ChargePro</v>
      </c>
      <c r="H445" t="str" cm="1">
        <f t="array" ref="H445">_xlfn.XLOOKUP(Table28[[#This Row],[SKU]],Supplier_Products[[#All],[SKU]],Supplier_Products[[#All],[Supplier]])</f>
        <v>ChargePro</v>
      </c>
    </row>
    <row r="446" spans="1:8" x14ac:dyDescent="0.3">
      <c r="A446">
        <v>1445</v>
      </c>
      <c r="B446">
        <v>604</v>
      </c>
      <c r="C446" t="s">
        <v>6</v>
      </c>
      <c r="D446" s="5">
        <v>45403</v>
      </c>
      <c r="E446" t="s">
        <v>12</v>
      </c>
      <c r="F446">
        <v>9</v>
      </c>
      <c r="G446" t="str">
        <f>VLOOKUP(Table28[[#This Row],[SKU]],Supplier_Products[[#All],[Supplier]:[SKU]],3,FALSE)</f>
        <v>TechCorp</v>
      </c>
      <c r="H446" t="str" cm="1">
        <f t="array" ref="H446">_xlfn.XLOOKUP(Table28[[#This Row],[SKU]],Supplier_Products[[#All],[SKU]],Supplier_Products[[#All],[Supplier]])</f>
        <v>TechCorp</v>
      </c>
    </row>
    <row r="447" spans="1:8" x14ac:dyDescent="0.3">
      <c r="A447">
        <v>1446</v>
      </c>
      <c r="B447">
        <v>676</v>
      </c>
      <c r="C447" t="s">
        <v>184</v>
      </c>
      <c r="D447" s="5">
        <v>45647</v>
      </c>
      <c r="E447" t="s">
        <v>189</v>
      </c>
      <c r="F447">
        <v>19</v>
      </c>
      <c r="G447" t="str">
        <f>VLOOKUP(Table28[[#This Row],[SKU]],Supplier_Products[[#All],[Supplier]:[SKU]],3,FALSE)</f>
        <v>VisionTech</v>
      </c>
      <c r="H447" t="str" cm="1">
        <f t="array" ref="H447">_xlfn.XLOOKUP(Table28[[#This Row],[SKU]],Supplier_Products[[#All],[SKU]],Supplier_Products[[#All],[Supplier]])</f>
        <v>VisionTech</v>
      </c>
    </row>
    <row r="448" spans="1:8" x14ac:dyDescent="0.3">
      <c r="A448">
        <v>1447</v>
      </c>
      <c r="B448">
        <v>597</v>
      </c>
      <c r="C448" t="s">
        <v>137</v>
      </c>
      <c r="D448" s="5">
        <v>45565</v>
      </c>
      <c r="E448" t="s">
        <v>188</v>
      </c>
      <c r="F448">
        <v>2</v>
      </c>
      <c r="G448" t="str">
        <f>VLOOKUP(Table28[[#This Row],[SKU]],Supplier_Products[[#All],[Supplier]:[SKU]],3,FALSE)</f>
        <v>CleanBot</v>
      </c>
      <c r="H448" t="str" cm="1">
        <f t="array" ref="H448">_xlfn.XLOOKUP(Table28[[#This Row],[SKU]],Supplier_Products[[#All],[SKU]],Supplier_Products[[#All],[Supplier]])</f>
        <v>CleanBot</v>
      </c>
    </row>
    <row r="449" spans="1:8" x14ac:dyDescent="0.3">
      <c r="A449">
        <v>1448</v>
      </c>
      <c r="B449">
        <v>578</v>
      </c>
      <c r="C449" t="s">
        <v>72</v>
      </c>
      <c r="D449" s="5">
        <v>45541</v>
      </c>
      <c r="E449" t="s">
        <v>187</v>
      </c>
      <c r="F449">
        <v>16</v>
      </c>
      <c r="G449" t="str">
        <f>VLOOKUP(Table28[[#This Row],[SKU]],Supplier_Products[[#All],[Supplier]:[SKU]],3,FALSE)</f>
        <v>SoundWave</v>
      </c>
      <c r="H449" t="str" cm="1">
        <f t="array" ref="H449">_xlfn.XLOOKUP(Table28[[#This Row],[SKU]],Supplier_Products[[#All],[SKU]],Supplier_Products[[#All],[Supplier]])</f>
        <v>SoundWave</v>
      </c>
    </row>
    <row r="450" spans="1:8" x14ac:dyDescent="0.3">
      <c r="A450">
        <v>1449</v>
      </c>
      <c r="B450">
        <v>674</v>
      </c>
      <c r="C450" t="s">
        <v>7</v>
      </c>
      <c r="D450" s="5">
        <v>45480</v>
      </c>
      <c r="E450" t="s">
        <v>13</v>
      </c>
      <c r="F450">
        <v>16</v>
      </c>
      <c r="G450" t="str">
        <f>VLOOKUP(Table28[[#This Row],[SKU]],Supplier_Products[[#All],[Supplier]:[SKU]],3,FALSE)</f>
        <v>SoundCo</v>
      </c>
      <c r="H450" t="str" cm="1">
        <f t="array" ref="H450">_xlfn.XLOOKUP(Table28[[#This Row],[SKU]],Supplier_Products[[#All],[SKU]],Supplier_Products[[#All],[Supplier]])</f>
        <v>SoundCo</v>
      </c>
    </row>
    <row r="451" spans="1:8" x14ac:dyDescent="0.3">
      <c r="A451">
        <v>1450</v>
      </c>
      <c r="B451">
        <v>701</v>
      </c>
      <c r="C451" t="s">
        <v>129</v>
      </c>
      <c r="D451" s="5">
        <v>45349</v>
      </c>
      <c r="E451" t="s">
        <v>12</v>
      </c>
      <c r="F451">
        <v>9</v>
      </c>
      <c r="G451" t="str">
        <f>VLOOKUP(Table28[[#This Row],[SKU]],Supplier_Products[[#All],[Supplier]:[SKU]],3,FALSE)</f>
        <v>StreamIt</v>
      </c>
      <c r="H451" t="str" cm="1">
        <f t="array" ref="H451">_xlfn.XLOOKUP(Table28[[#This Row],[SKU]],Supplier_Products[[#All],[SKU]],Supplier_Products[[#All],[Supplier]])</f>
        <v>StreamIt</v>
      </c>
    </row>
    <row r="452" spans="1:8" x14ac:dyDescent="0.3">
      <c r="A452">
        <v>1451</v>
      </c>
      <c r="B452">
        <v>568</v>
      </c>
      <c r="C452" t="s">
        <v>169</v>
      </c>
      <c r="D452" s="5">
        <v>45601</v>
      </c>
      <c r="E452" t="s">
        <v>14</v>
      </c>
      <c r="F452">
        <v>4</v>
      </c>
      <c r="G452" t="str">
        <f>VLOOKUP(Table28[[#This Row],[SKU]],Supplier_Products[[#All],[Supplier]:[SKU]],3,FALSE)</f>
        <v>SafeDrive</v>
      </c>
      <c r="H452" t="str" cm="1">
        <f t="array" ref="H452">_xlfn.XLOOKUP(Table28[[#This Row],[SKU]],Supplier_Products[[#All],[SKU]],Supplier_Products[[#All],[Supplier]])</f>
        <v>SafeDrive</v>
      </c>
    </row>
    <row r="453" spans="1:8" x14ac:dyDescent="0.3">
      <c r="A453">
        <v>1452</v>
      </c>
      <c r="B453">
        <v>750</v>
      </c>
      <c r="C453" t="s">
        <v>126</v>
      </c>
      <c r="D453" s="5">
        <v>45522</v>
      </c>
      <c r="E453" t="s">
        <v>191</v>
      </c>
      <c r="F453">
        <v>10</v>
      </c>
      <c r="G453" t="str">
        <f>VLOOKUP(Table28[[#This Row],[SKU]],Supplier_Products[[#All],[Supplier]:[SKU]],3,FALSE)</f>
        <v>FitTech</v>
      </c>
      <c r="H453" t="str" cm="1">
        <f t="array" ref="H453">_xlfn.XLOOKUP(Table28[[#This Row],[SKU]],Supplier_Products[[#All],[SKU]],Supplier_Products[[#All],[Supplier]])</f>
        <v>FitTech</v>
      </c>
    </row>
    <row r="454" spans="1:8" x14ac:dyDescent="0.3">
      <c r="A454">
        <v>1453</v>
      </c>
      <c r="B454">
        <v>511</v>
      </c>
      <c r="C454" t="s">
        <v>123</v>
      </c>
      <c r="D454" s="5">
        <v>45532</v>
      </c>
      <c r="E454" t="s">
        <v>189</v>
      </c>
      <c r="F454">
        <v>2</v>
      </c>
      <c r="G454" t="str">
        <f>VLOOKUP(Table28[[#This Row],[SKU]],Supplier_Products[[#All],[Supplier]:[SKU]],3,FALSE)</f>
        <v>VRWorld</v>
      </c>
      <c r="H454" t="str" cm="1">
        <f t="array" ref="H454">_xlfn.XLOOKUP(Table28[[#This Row],[SKU]],Supplier_Products[[#All],[SKU]],Supplier_Products[[#All],[Supplier]])</f>
        <v>VRWorld</v>
      </c>
    </row>
    <row r="455" spans="1:8" x14ac:dyDescent="0.3">
      <c r="A455">
        <v>1454</v>
      </c>
      <c r="B455">
        <v>544</v>
      </c>
      <c r="C455" t="s">
        <v>117</v>
      </c>
      <c r="D455" s="5">
        <v>45316</v>
      </c>
      <c r="E455" t="s">
        <v>190</v>
      </c>
      <c r="F455">
        <v>10</v>
      </c>
      <c r="G455" t="str">
        <f>VLOOKUP(Table28[[#This Row],[SKU]],Supplier_Products[[#All],[Supplier]:[SKU]],3,FALSE)</f>
        <v>DataSafe</v>
      </c>
      <c r="H455" t="str" cm="1">
        <f t="array" ref="H455">_xlfn.XLOOKUP(Table28[[#This Row],[SKU]],Supplier_Products[[#All],[SKU]],Supplier_Products[[#All],[Supplier]])</f>
        <v>DataSafe</v>
      </c>
    </row>
    <row r="456" spans="1:8" x14ac:dyDescent="0.3">
      <c r="A456">
        <v>1455</v>
      </c>
      <c r="B456">
        <v>522</v>
      </c>
      <c r="C456" t="s">
        <v>169</v>
      </c>
      <c r="D456" s="5">
        <v>45583</v>
      </c>
      <c r="E456" t="s">
        <v>14</v>
      </c>
      <c r="F456">
        <v>12</v>
      </c>
      <c r="G456" t="str">
        <f>VLOOKUP(Table28[[#This Row],[SKU]],Supplier_Products[[#All],[Supplier]:[SKU]],3,FALSE)</f>
        <v>SafeDrive</v>
      </c>
      <c r="H456" t="str" cm="1">
        <f t="array" ref="H456">_xlfn.XLOOKUP(Table28[[#This Row],[SKU]],Supplier_Products[[#All],[SKU]],Supplier_Products[[#All],[Supplier]])</f>
        <v>SafeDrive</v>
      </c>
    </row>
    <row r="457" spans="1:8" x14ac:dyDescent="0.3">
      <c r="A457">
        <v>1456</v>
      </c>
      <c r="B457">
        <v>622</v>
      </c>
      <c r="C457" t="s">
        <v>142</v>
      </c>
      <c r="D457" s="5">
        <v>45603</v>
      </c>
      <c r="E457" t="s">
        <v>186</v>
      </c>
      <c r="F457">
        <v>19</v>
      </c>
      <c r="G457" t="str">
        <f>VLOOKUP(Table28[[#This Row],[SKU]],Supplier_Products[[#All],[Supplier]:[SKU]],3,FALSE)</f>
        <v>GPUForce</v>
      </c>
      <c r="H457" t="str" cm="1">
        <f t="array" ref="H457">_xlfn.XLOOKUP(Table28[[#This Row],[SKU]],Supplier_Products[[#All],[SKU]],Supplier_Products[[#All],[Supplier]])</f>
        <v>GPUForce</v>
      </c>
    </row>
    <row r="458" spans="1:8" x14ac:dyDescent="0.3">
      <c r="A458">
        <v>1457</v>
      </c>
      <c r="B458">
        <v>673</v>
      </c>
      <c r="C458" t="s">
        <v>160</v>
      </c>
      <c r="D458" s="5">
        <v>45429</v>
      </c>
      <c r="E458" t="s">
        <v>13</v>
      </c>
      <c r="F458">
        <v>8</v>
      </c>
      <c r="G458" t="str">
        <f>VLOOKUP(Table28[[#This Row],[SKU]],Supplier_Products[[#All],[Supplier]:[SKU]],3,FALSE)</f>
        <v>SoundCo</v>
      </c>
      <c r="H458" t="str" cm="1">
        <f t="array" ref="H458">_xlfn.XLOOKUP(Table28[[#This Row],[SKU]],Supplier_Products[[#All],[SKU]],Supplier_Products[[#All],[Supplier]])</f>
        <v>SoundCo</v>
      </c>
    </row>
    <row r="459" spans="1:8" x14ac:dyDescent="0.3">
      <c r="A459">
        <v>1458</v>
      </c>
      <c r="B459">
        <v>706</v>
      </c>
      <c r="C459" t="s">
        <v>158</v>
      </c>
      <c r="D459" s="5">
        <v>45360</v>
      </c>
      <c r="E459" t="s">
        <v>186</v>
      </c>
      <c r="F459">
        <v>3</v>
      </c>
      <c r="G459" t="str">
        <f>VLOOKUP(Table28[[#This Row],[SKU]],Supplier_Products[[#All],[Supplier]:[SKU]],3,FALSE)</f>
        <v>ClickTech</v>
      </c>
      <c r="H459" t="str" cm="1">
        <f t="array" ref="H459">_xlfn.XLOOKUP(Table28[[#This Row],[SKU]],Supplier_Products[[#All],[SKU]],Supplier_Products[[#All],[Supplier]])</f>
        <v>ClickTech</v>
      </c>
    </row>
    <row r="460" spans="1:8" x14ac:dyDescent="0.3">
      <c r="A460">
        <v>1459</v>
      </c>
      <c r="B460">
        <v>626</v>
      </c>
      <c r="C460" t="s">
        <v>173</v>
      </c>
      <c r="D460" s="5">
        <v>45344</v>
      </c>
      <c r="E460" t="s">
        <v>14</v>
      </c>
      <c r="F460">
        <v>8</v>
      </c>
      <c r="G460" t="str">
        <f>VLOOKUP(Table28[[#This Row],[SKU]],Supplier_Products[[#All],[Supplier]:[SKU]],3,FALSE)</f>
        <v>SafeTech</v>
      </c>
      <c r="H460" t="str" cm="1">
        <f t="array" ref="H460">_xlfn.XLOOKUP(Table28[[#This Row],[SKU]],Supplier_Products[[#All],[SKU]],Supplier_Products[[#All],[Supplier]])</f>
        <v>SafeTech</v>
      </c>
    </row>
    <row r="461" spans="1:8" x14ac:dyDescent="0.3">
      <c r="A461">
        <v>1460</v>
      </c>
      <c r="B461">
        <v>727</v>
      </c>
      <c r="C461" t="s">
        <v>156</v>
      </c>
      <c r="D461" s="5">
        <v>45620</v>
      </c>
      <c r="E461" t="s">
        <v>186</v>
      </c>
      <c r="F461">
        <v>20</v>
      </c>
      <c r="G461" t="str">
        <f>VLOOKUP(Table28[[#This Row],[SKU]],Supplier_Products[[#All],[Supplier]:[SKU]],3,FALSE)</f>
        <v>ClickTech</v>
      </c>
      <c r="H461" t="str" cm="1">
        <f t="array" ref="H461">_xlfn.XLOOKUP(Table28[[#This Row],[SKU]],Supplier_Products[[#All],[SKU]],Supplier_Products[[#All],[Supplier]])</f>
        <v>ClickTech</v>
      </c>
    </row>
    <row r="462" spans="1:8" x14ac:dyDescent="0.3">
      <c r="A462">
        <v>1461</v>
      </c>
      <c r="B462">
        <v>608</v>
      </c>
      <c r="C462" t="s">
        <v>117</v>
      </c>
      <c r="D462" s="5">
        <v>45313</v>
      </c>
      <c r="E462" t="s">
        <v>190</v>
      </c>
      <c r="F462">
        <v>16</v>
      </c>
      <c r="G462" t="str">
        <f>VLOOKUP(Table28[[#This Row],[SKU]],Supplier_Products[[#All],[Supplier]:[SKU]],3,FALSE)</f>
        <v>DataSafe</v>
      </c>
      <c r="H462" t="str" cm="1">
        <f t="array" ref="H462">_xlfn.XLOOKUP(Table28[[#This Row],[SKU]],Supplier_Products[[#All],[SKU]],Supplier_Products[[#All],[Supplier]])</f>
        <v>DataSafe</v>
      </c>
    </row>
    <row r="463" spans="1:8" x14ac:dyDescent="0.3">
      <c r="A463">
        <v>1462</v>
      </c>
      <c r="B463">
        <v>562</v>
      </c>
      <c r="C463" t="s">
        <v>9</v>
      </c>
      <c r="D463" s="5">
        <v>45318</v>
      </c>
      <c r="E463" t="s">
        <v>14</v>
      </c>
      <c r="F463">
        <v>10</v>
      </c>
      <c r="G463" t="str">
        <f>VLOOKUP(Table28[[#This Row],[SKU]],Supplier_Products[[#All],[Supplier]:[SKU]],3,FALSE)</f>
        <v>CompuTech</v>
      </c>
      <c r="H463" t="str" cm="1">
        <f t="array" ref="H463">_xlfn.XLOOKUP(Table28[[#This Row],[SKU]],Supplier_Products[[#All],[SKU]],Supplier_Products[[#All],[Supplier]])</f>
        <v>CompuTech</v>
      </c>
    </row>
    <row r="464" spans="1:8" x14ac:dyDescent="0.3">
      <c r="A464">
        <v>1463</v>
      </c>
      <c r="B464">
        <v>546</v>
      </c>
      <c r="C464" t="s">
        <v>121</v>
      </c>
      <c r="D464" s="5">
        <v>45551</v>
      </c>
      <c r="E464" t="s">
        <v>186</v>
      </c>
      <c r="F464">
        <v>13</v>
      </c>
      <c r="G464" t="str">
        <f>VLOOKUP(Table28[[#This Row],[SKU]],Supplier_Products[[#All],[Supplier]:[SKU]],3,FALSE)</f>
        <v>ClickTech</v>
      </c>
      <c r="H464" t="str" cm="1">
        <f t="array" ref="H464">_xlfn.XLOOKUP(Table28[[#This Row],[SKU]],Supplier_Products[[#All],[SKU]],Supplier_Products[[#All],[Supplier]])</f>
        <v>ClickTech</v>
      </c>
    </row>
    <row r="465" spans="1:8" x14ac:dyDescent="0.3">
      <c r="A465">
        <v>1464</v>
      </c>
      <c r="B465">
        <v>531</v>
      </c>
      <c r="C465" t="s">
        <v>6</v>
      </c>
      <c r="D465" s="5">
        <v>45304</v>
      </c>
      <c r="E465" t="s">
        <v>12</v>
      </c>
      <c r="F465">
        <v>7</v>
      </c>
      <c r="G465" t="str">
        <f>VLOOKUP(Table28[[#This Row],[SKU]],Supplier_Products[[#All],[Supplier]:[SKU]],3,FALSE)</f>
        <v>TechCorp</v>
      </c>
      <c r="H465" t="str" cm="1">
        <f t="array" ref="H465">_xlfn.XLOOKUP(Table28[[#This Row],[SKU]],Supplier_Products[[#All],[SKU]],Supplier_Products[[#All],[Supplier]])</f>
        <v>TechCorp</v>
      </c>
    </row>
    <row r="466" spans="1:8" x14ac:dyDescent="0.3">
      <c r="A466">
        <v>1465</v>
      </c>
      <c r="B466">
        <v>705</v>
      </c>
      <c r="C466" t="s">
        <v>10</v>
      </c>
      <c r="D466" s="5">
        <v>45526</v>
      </c>
      <c r="E466" t="s">
        <v>13</v>
      </c>
      <c r="F466">
        <v>6</v>
      </c>
      <c r="G466" t="str">
        <f>VLOOKUP(Table28[[#This Row],[SKU]],Supplier_Products[[#All],[Supplier]:[SKU]],3,FALSE)</f>
        <v>TabletMakers</v>
      </c>
      <c r="H466" t="str" cm="1">
        <f t="array" ref="H466">_xlfn.XLOOKUP(Table28[[#This Row],[SKU]],Supplier_Products[[#All],[SKU]],Supplier_Products[[#All],[Supplier]])</f>
        <v>TabletMakers</v>
      </c>
    </row>
    <row r="467" spans="1:8" x14ac:dyDescent="0.3">
      <c r="A467">
        <v>1466</v>
      </c>
      <c r="B467">
        <v>504</v>
      </c>
      <c r="C467" t="s">
        <v>158</v>
      </c>
      <c r="D467" s="5">
        <v>45582</v>
      </c>
      <c r="E467" t="s">
        <v>186</v>
      </c>
      <c r="F467">
        <v>20</v>
      </c>
      <c r="G467" t="str">
        <f>VLOOKUP(Table28[[#This Row],[SKU]],Supplier_Products[[#All],[Supplier]:[SKU]],3,FALSE)</f>
        <v>ClickTech</v>
      </c>
      <c r="H467" t="str" cm="1">
        <f t="array" ref="H467">_xlfn.XLOOKUP(Table28[[#This Row],[SKU]],Supplier_Products[[#All],[SKU]],Supplier_Products[[#All],[Supplier]])</f>
        <v>ClickTech</v>
      </c>
    </row>
    <row r="468" spans="1:8" x14ac:dyDescent="0.3">
      <c r="A468">
        <v>1467</v>
      </c>
      <c r="B468">
        <v>546</v>
      </c>
      <c r="C468" t="s">
        <v>129</v>
      </c>
      <c r="D468" s="5">
        <v>45537</v>
      </c>
      <c r="E468" t="s">
        <v>12</v>
      </c>
      <c r="F468">
        <v>19</v>
      </c>
      <c r="G468" t="str">
        <f>VLOOKUP(Table28[[#This Row],[SKU]],Supplier_Products[[#All],[Supplier]:[SKU]],3,FALSE)</f>
        <v>StreamIt</v>
      </c>
      <c r="H468" t="str" cm="1">
        <f t="array" ref="H468">_xlfn.XLOOKUP(Table28[[#This Row],[SKU]],Supplier_Products[[#All],[SKU]],Supplier_Products[[#All],[Supplier]])</f>
        <v>StreamIt</v>
      </c>
    </row>
    <row r="469" spans="1:8" x14ac:dyDescent="0.3">
      <c r="A469">
        <v>1468</v>
      </c>
      <c r="B469">
        <v>513</v>
      </c>
      <c r="C469" t="s">
        <v>72</v>
      </c>
      <c r="D469" s="5">
        <v>45457</v>
      </c>
      <c r="E469" t="s">
        <v>187</v>
      </c>
      <c r="F469">
        <v>2</v>
      </c>
      <c r="G469" t="str">
        <f>VLOOKUP(Table28[[#This Row],[SKU]],Supplier_Products[[#All],[Supplier]:[SKU]],3,FALSE)</f>
        <v>SoundWave</v>
      </c>
      <c r="H469" t="str" cm="1">
        <f t="array" ref="H469">_xlfn.XLOOKUP(Table28[[#This Row],[SKU]],Supplier_Products[[#All],[SKU]],Supplier_Products[[#All],[Supplier]])</f>
        <v>SoundWave</v>
      </c>
    </row>
    <row r="470" spans="1:8" x14ac:dyDescent="0.3">
      <c r="A470">
        <v>1469</v>
      </c>
      <c r="B470">
        <v>716</v>
      </c>
      <c r="C470" t="s">
        <v>175</v>
      </c>
      <c r="D470" s="5">
        <v>45462</v>
      </c>
      <c r="E470" t="s">
        <v>186</v>
      </c>
      <c r="F470">
        <v>12</v>
      </c>
      <c r="G470" t="str">
        <f>VLOOKUP(Table28[[#This Row],[SKU]],Supplier_Products[[#All],[Supplier]:[SKU]],3,FALSE)</f>
        <v>DisplayPro</v>
      </c>
      <c r="H470" t="str" cm="1">
        <f t="array" ref="H470">_xlfn.XLOOKUP(Table28[[#This Row],[SKU]],Supplier_Products[[#All],[SKU]],Supplier_Products[[#All],[Supplier]])</f>
        <v>DisplayPro</v>
      </c>
    </row>
    <row r="471" spans="1:8" x14ac:dyDescent="0.3">
      <c r="A471">
        <v>1470</v>
      </c>
      <c r="B471">
        <v>713</v>
      </c>
      <c r="C471" t="s">
        <v>126</v>
      </c>
      <c r="D471" s="5">
        <v>45387</v>
      </c>
      <c r="E471" t="s">
        <v>191</v>
      </c>
      <c r="F471">
        <v>6</v>
      </c>
      <c r="G471" t="str">
        <f>VLOOKUP(Table28[[#This Row],[SKU]],Supplier_Products[[#All],[Supplier]:[SKU]],3,FALSE)</f>
        <v>FitTech</v>
      </c>
      <c r="H471" t="str" cm="1">
        <f t="array" ref="H471">_xlfn.XLOOKUP(Table28[[#This Row],[SKU]],Supplier_Products[[#All],[SKU]],Supplier_Products[[#All],[Supplier]])</f>
        <v>FitTech</v>
      </c>
    </row>
    <row r="472" spans="1:8" x14ac:dyDescent="0.3">
      <c r="A472">
        <v>1471</v>
      </c>
      <c r="B472">
        <v>509</v>
      </c>
      <c r="C472" t="s">
        <v>169</v>
      </c>
      <c r="D472" s="5">
        <v>45394</v>
      </c>
      <c r="E472" t="s">
        <v>14</v>
      </c>
      <c r="F472">
        <v>13</v>
      </c>
      <c r="G472" t="str">
        <f>VLOOKUP(Table28[[#This Row],[SKU]],Supplier_Products[[#All],[Supplier]:[SKU]],3,FALSE)</f>
        <v>SafeDrive</v>
      </c>
      <c r="H472" t="str" cm="1">
        <f t="array" ref="H472">_xlfn.XLOOKUP(Table28[[#This Row],[SKU]],Supplier_Products[[#All],[SKU]],Supplier_Products[[#All],[Supplier]])</f>
        <v>SafeDrive</v>
      </c>
    </row>
    <row r="473" spans="1:8" x14ac:dyDescent="0.3">
      <c r="A473">
        <v>1472</v>
      </c>
      <c r="B473">
        <v>708</v>
      </c>
      <c r="C473" t="s">
        <v>129</v>
      </c>
      <c r="D473" s="5">
        <v>45320</v>
      </c>
      <c r="E473" t="s">
        <v>12</v>
      </c>
      <c r="F473">
        <v>15</v>
      </c>
      <c r="G473" t="str">
        <f>VLOOKUP(Table28[[#This Row],[SKU]],Supplier_Products[[#All],[Supplier]:[SKU]],3,FALSE)</f>
        <v>StreamIt</v>
      </c>
      <c r="H473" t="str" cm="1">
        <f t="array" ref="H473">_xlfn.XLOOKUP(Table28[[#This Row],[SKU]],Supplier_Products[[#All],[SKU]],Supplier_Products[[#All],[Supplier]])</f>
        <v>StreamIt</v>
      </c>
    </row>
    <row r="474" spans="1:8" x14ac:dyDescent="0.3">
      <c r="A474">
        <v>1473</v>
      </c>
      <c r="B474">
        <v>527</v>
      </c>
      <c r="C474" t="s">
        <v>181</v>
      </c>
      <c r="D474" s="5">
        <v>45303</v>
      </c>
      <c r="E474" t="s">
        <v>12</v>
      </c>
      <c r="F474">
        <v>3</v>
      </c>
      <c r="G474" t="str">
        <f>VLOOKUP(Table28[[#This Row],[SKU]],Supplier_Products[[#All],[Supplier]:[SKU]],3,FALSE)</f>
        <v>PhotoFrame Inc.</v>
      </c>
      <c r="H474" t="str" cm="1">
        <f t="array" ref="H474">_xlfn.XLOOKUP(Table28[[#This Row],[SKU]],Supplier_Products[[#All],[SKU]],Supplier_Products[[#All],[Supplier]])</f>
        <v>PhotoFrame Inc.</v>
      </c>
    </row>
    <row r="475" spans="1:8" x14ac:dyDescent="0.3">
      <c r="A475">
        <v>1474</v>
      </c>
      <c r="B475">
        <v>744</v>
      </c>
      <c r="C475" t="s">
        <v>7</v>
      </c>
      <c r="D475" s="5">
        <v>45511</v>
      </c>
      <c r="E475" t="s">
        <v>13</v>
      </c>
      <c r="F475">
        <v>1</v>
      </c>
      <c r="G475" t="str">
        <f>VLOOKUP(Table28[[#This Row],[SKU]],Supplier_Products[[#All],[Supplier]:[SKU]],3,FALSE)</f>
        <v>SoundCo</v>
      </c>
      <c r="H475" t="str" cm="1">
        <f t="array" ref="H475">_xlfn.XLOOKUP(Table28[[#This Row],[SKU]],Supplier_Products[[#All],[SKU]],Supplier_Products[[#All],[Supplier]])</f>
        <v>SoundCo</v>
      </c>
    </row>
    <row r="476" spans="1:8" x14ac:dyDescent="0.3">
      <c r="A476">
        <v>1475</v>
      </c>
      <c r="B476">
        <v>573</v>
      </c>
      <c r="C476" t="s">
        <v>145</v>
      </c>
      <c r="D476" s="5">
        <v>45365</v>
      </c>
      <c r="E476" t="s">
        <v>190</v>
      </c>
      <c r="F476">
        <v>4</v>
      </c>
      <c r="G476" t="str">
        <f>VLOOKUP(Table28[[#This Row],[SKU]],Supplier_Products[[#All],[Supplier]:[SKU]],3,FALSE)</f>
        <v>BrightHome</v>
      </c>
      <c r="H476" t="str" cm="1">
        <f t="array" ref="H476">_xlfn.XLOOKUP(Table28[[#This Row],[SKU]],Supplier_Products[[#All],[SKU]],Supplier_Products[[#All],[Supplier]])</f>
        <v>BrightHome</v>
      </c>
    </row>
    <row r="477" spans="1:8" x14ac:dyDescent="0.3">
      <c r="A477">
        <v>1476</v>
      </c>
      <c r="B477">
        <v>603</v>
      </c>
      <c r="C477" t="s">
        <v>110</v>
      </c>
      <c r="D477" s="5">
        <v>45623</v>
      </c>
      <c r="E477" t="s">
        <v>188</v>
      </c>
      <c r="F477">
        <v>18</v>
      </c>
      <c r="G477" t="str">
        <f>VLOOKUP(Table28[[#This Row],[SKU]],Supplier_Products[[#All],[Supplier]:[SKU]],3,FALSE)</f>
        <v>PlayMax</v>
      </c>
      <c r="H477" t="str" cm="1">
        <f t="array" ref="H477">_xlfn.XLOOKUP(Table28[[#This Row],[SKU]],Supplier_Products[[#All],[SKU]],Supplier_Products[[#All],[Supplier]])</f>
        <v>PlayMax</v>
      </c>
    </row>
    <row r="478" spans="1:8" x14ac:dyDescent="0.3">
      <c r="A478">
        <v>1477</v>
      </c>
      <c r="B478">
        <v>562</v>
      </c>
      <c r="C478" t="s">
        <v>166</v>
      </c>
      <c r="D478" s="5">
        <v>45479</v>
      </c>
      <c r="E478" t="s">
        <v>191</v>
      </c>
      <c r="F478">
        <v>17</v>
      </c>
      <c r="G478" t="str">
        <f>VLOOKUP(Table28[[#This Row],[SKU]],Supplier_Products[[#All],[Supplier]:[SKU]],3,FALSE)</f>
        <v>BookTech</v>
      </c>
      <c r="H478" t="str" cm="1">
        <f t="array" ref="H478">_xlfn.XLOOKUP(Table28[[#This Row],[SKU]],Supplier_Products[[#All],[SKU]],Supplier_Products[[#All],[Supplier]])</f>
        <v>BookTech</v>
      </c>
    </row>
    <row r="479" spans="1:8" x14ac:dyDescent="0.3">
      <c r="A479">
        <v>1478</v>
      </c>
      <c r="B479">
        <v>706</v>
      </c>
      <c r="C479" t="s">
        <v>156</v>
      </c>
      <c r="D479" s="5">
        <v>45650</v>
      </c>
      <c r="E479" t="s">
        <v>186</v>
      </c>
      <c r="F479">
        <v>6</v>
      </c>
      <c r="G479" t="str">
        <f>VLOOKUP(Table28[[#This Row],[SKU]],Supplier_Products[[#All],[Supplier]:[SKU]],3,FALSE)</f>
        <v>ClickTech</v>
      </c>
      <c r="H479" t="str" cm="1">
        <f t="array" ref="H479">_xlfn.XLOOKUP(Table28[[#This Row],[SKU]],Supplier_Products[[#All],[SKU]],Supplier_Products[[#All],[Supplier]])</f>
        <v>ClickTech</v>
      </c>
    </row>
    <row r="480" spans="1:8" x14ac:dyDescent="0.3">
      <c r="A480">
        <v>1479</v>
      </c>
      <c r="B480">
        <v>610</v>
      </c>
      <c r="C480" t="s">
        <v>126</v>
      </c>
      <c r="D480" s="5">
        <v>45358</v>
      </c>
      <c r="E480" t="s">
        <v>191</v>
      </c>
      <c r="F480">
        <v>2</v>
      </c>
      <c r="G480" t="str">
        <f>VLOOKUP(Table28[[#This Row],[SKU]],Supplier_Products[[#All],[Supplier]:[SKU]],3,FALSE)</f>
        <v>FitTech</v>
      </c>
      <c r="H480" t="str" cm="1">
        <f t="array" ref="H480">_xlfn.XLOOKUP(Table28[[#This Row],[SKU]],Supplier_Products[[#All],[SKU]],Supplier_Products[[#All],[Supplier]])</f>
        <v>FitTech</v>
      </c>
    </row>
    <row r="481" spans="1:8" x14ac:dyDescent="0.3">
      <c r="A481">
        <v>1480</v>
      </c>
      <c r="B481">
        <v>599</v>
      </c>
      <c r="C481" t="s">
        <v>10</v>
      </c>
      <c r="D481" s="5">
        <v>45421</v>
      </c>
      <c r="E481" t="s">
        <v>13</v>
      </c>
      <c r="F481">
        <v>13</v>
      </c>
      <c r="G481" t="str">
        <f>VLOOKUP(Table28[[#This Row],[SKU]],Supplier_Products[[#All],[Supplier]:[SKU]],3,FALSE)</f>
        <v>TabletMakers</v>
      </c>
      <c r="H481" t="str" cm="1">
        <f t="array" ref="H481">_xlfn.XLOOKUP(Table28[[#This Row],[SKU]],Supplier_Products[[#All],[SKU]],Supplier_Products[[#All],[Supplier]])</f>
        <v>TabletMakers</v>
      </c>
    </row>
    <row r="482" spans="1:8" x14ac:dyDescent="0.3">
      <c r="A482">
        <v>1481</v>
      </c>
      <c r="B482">
        <v>721</v>
      </c>
      <c r="C482" t="s">
        <v>175</v>
      </c>
      <c r="D482" s="5">
        <v>45458</v>
      </c>
      <c r="E482" t="s">
        <v>186</v>
      </c>
      <c r="F482">
        <v>16</v>
      </c>
      <c r="G482" t="str">
        <f>VLOOKUP(Table28[[#This Row],[SKU]],Supplier_Products[[#All],[Supplier]:[SKU]],3,FALSE)</f>
        <v>DisplayPro</v>
      </c>
      <c r="H482" t="str" cm="1">
        <f t="array" ref="H482">_xlfn.XLOOKUP(Table28[[#This Row],[SKU]],Supplier_Products[[#All],[SKU]],Supplier_Products[[#All],[Supplier]])</f>
        <v>DisplayPro</v>
      </c>
    </row>
    <row r="483" spans="1:8" x14ac:dyDescent="0.3">
      <c r="A483">
        <v>1482</v>
      </c>
      <c r="B483">
        <v>660</v>
      </c>
      <c r="C483" t="s">
        <v>11</v>
      </c>
      <c r="D483" s="5">
        <v>45304</v>
      </c>
      <c r="E483" t="s">
        <v>12</v>
      </c>
      <c r="F483">
        <v>3</v>
      </c>
      <c r="G483" t="str">
        <f>VLOOKUP(Table28[[#This Row],[SKU]],Supplier_Products[[#All],[Supplier]:[SKU]],3,FALSE)</f>
        <v>ChargePro</v>
      </c>
      <c r="H483" t="str" cm="1">
        <f t="array" ref="H483">_xlfn.XLOOKUP(Table28[[#This Row],[SKU]],Supplier_Products[[#All],[SKU]],Supplier_Products[[#All],[Supplier]])</f>
        <v>ChargePro</v>
      </c>
    </row>
    <row r="484" spans="1:8" x14ac:dyDescent="0.3">
      <c r="A484">
        <v>1483</v>
      </c>
      <c r="B484">
        <v>508</v>
      </c>
      <c r="C484" t="s">
        <v>7</v>
      </c>
      <c r="D484" s="5">
        <v>45498</v>
      </c>
      <c r="E484" t="s">
        <v>13</v>
      </c>
      <c r="F484">
        <v>4</v>
      </c>
      <c r="G484" t="str">
        <f>VLOOKUP(Table28[[#This Row],[SKU]],Supplier_Products[[#All],[Supplier]:[SKU]],3,FALSE)</f>
        <v>SoundCo</v>
      </c>
      <c r="H484" t="str" cm="1">
        <f t="array" ref="H484">_xlfn.XLOOKUP(Table28[[#This Row],[SKU]],Supplier_Products[[#All],[SKU]],Supplier_Products[[#All],[Supplier]])</f>
        <v>SoundCo</v>
      </c>
    </row>
    <row r="485" spans="1:8" x14ac:dyDescent="0.3">
      <c r="A485">
        <v>1484</v>
      </c>
      <c r="B485">
        <v>653</v>
      </c>
      <c r="C485" t="s">
        <v>140</v>
      </c>
      <c r="D485" s="5">
        <v>45448</v>
      </c>
      <c r="E485" t="s">
        <v>187</v>
      </c>
      <c r="F485">
        <v>3</v>
      </c>
      <c r="G485" t="str">
        <f>VLOOKUP(Table28[[#This Row],[SKU]],Supplier_Products[[#All],[Supplier]:[SKU]],3,FALSE)</f>
        <v>SoundWave</v>
      </c>
      <c r="H485" t="str" cm="1">
        <f t="array" ref="H485">_xlfn.XLOOKUP(Table28[[#This Row],[SKU]],Supplier_Products[[#All],[SKU]],Supplier_Products[[#All],[Supplier]])</f>
        <v>SoundWave</v>
      </c>
    </row>
    <row r="486" spans="1:8" x14ac:dyDescent="0.3">
      <c r="A486">
        <v>1485</v>
      </c>
      <c r="B486">
        <v>602</v>
      </c>
      <c r="C486" t="s">
        <v>10</v>
      </c>
      <c r="D486" s="5">
        <v>45532</v>
      </c>
      <c r="E486" t="s">
        <v>13</v>
      </c>
      <c r="F486">
        <v>4</v>
      </c>
      <c r="G486" t="str">
        <f>VLOOKUP(Table28[[#This Row],[SKU]],Supplier_Products[[#All],[Supplier]:[SKU]],3,FALSE)</f>
        <v>TabletMakers</v>
      </c>
      <c r="H486" t="str" cm="1">
        <f t="array" ref="H486">_xlfn.XLOOKUP(Table28[[#This Row],[SKU]],Supplier_Products[[#All],[SKU]],Supplier_Products[[#All],[Supplier]])</f>
        <v>TabletMakers</v>
      </c>
    </row>
    <row r="487" spans="1:8" x14ac:dyDescent="0.3">
      <c r="A487">
        <v>1486</v>
      </c>
      <c r="B487">
        <v>568</v>
      </c>
      <c r="C487" t="s">
        <v>129</v>
      </c>
      <c r="D487" s="5">
        <v>45547</v>
      </c>
      <c r="E487" t="s">
        <v>12</v>
      </c>
      <c r="F487">
        <v>3</v>
      </c>
      <c r="G487" t="str">
        <f>VLOOKUP(Table28[[#This Row],[SKU]],Supplier_Products[[#All],[Supplier]:[SKU]],3,FALSE)</f>
        <v>StreamIt</v>
      </c>
      <c r="H487" t="str" cm="1">
        <f t="array" ref="H487">_xlfn.XLOOKUP(Table28[[#This Row],[SKU]],Supplier_Products[[#All],[SKU]],Supplier_Products[[#All],[Supplier]])</f>
        <v>StreamIt</v>
      </c>
    </row>
    <row r="488" spans="1:8" x14ac:dyDescent="0.3">
      <c r="A488">
        <v>1487</v>
      </c>
      <c r="B488">
        <v>726</v>
      </c>
      <c r="C488" t="s">
        <v>154</v>
      </c>
      <c r="D488" s="5">
        <v>45426</v>
      </c>
      <c r="E488" t="s">
        <v>187</v>
      </c>
      <c r="F488">
        <v>12</v>
      </c>
      <c r="G488" t="str">
        <f>VLOOKUP(Table28[[#This Row],[SKU]],Supplier_Products[[#All],[Supplier]:[SKU]],3,FALSE)</f>
        <v>ShutterPro</v>
      </c>
      <c r="H488" t="str" cm="1">
        <f t="array" ref="H488">_xlfn.XLOOKUP(Table28[[#This Row],[SKU]],Supplier_Products[[#All],[SKU]],Supplier_Products[[#All],[Supplier]])</f>
        <v>ShutterPro</v>
      </c>
    </row>
    <row r="489" spans="1:8" x14ac:dyDescent="0.3">
      <c r="A489">
        <v>1488</v>
      </c>
      <c r="B489">
        <v>509</v>
      </c>
      <c r="C489" t="s">
        <v>154</v>
      </c>
      <c r="D489" s="5">
        <v>45296</v>
      </c>
      <c r="E489" t="s">
        <v>187</v>
      </c>
      <c r="F489">
        <v>12</v>
      </c>
      <c r="G489" t="str">
        <f>VLOOKUP(Table28[[#This Row],[SKU]],Supplier_Products[[#All],[Supplier]:[SKU]],3,FALSE)</f>
        <v>ShutterPro</v>
      </c>
      <c r="H489" t="str" cm="1">
        <f t="array" ref="H489">_xlfn.XLOOKUP(Table28[[#This Row],[SKU]],Supplier_Products[[#All],[SKU]],Supplier_Products[[#All],[Supplier]])</f>
        <v>ShutterPro</v>
      </c>
    </row>
    <row r="490" spans="1:8" x14ac:dyDescent="0.3">
      <c r="A490">
        <v>1489</v>
      </c>
      <c r="B490">
        <v>626</v>
      </c>
      <c r="C490" t="s">
        <v>181</v>
      </c>
      <c r="D490" s="5">
        <v>45351</v>
      </c>
      <c r="E490" t="s">
        <v>12</v>
      </c>
      <c r="F490">
        <v>15</v>
      </c>
      <c r="G490" t="str">
        <f>VLOOKUP(Table28[[#This Row],[SKU]],Supplier_Products[[#All],[Supplier]:[SKU]],3,FALSE)</f>
        <v>PhotoFrame Inc.</v>
      </c>
      <c r="H490" t="str" cm="1">
        <f t="array" ref="H490">_xlfn.XLOOKUP(Table28[[#This Row],[SKU]],Supplier_Products[[#All],[SKU]],Supplier_Products[[#All],[Supplier]])</f>
        <v>PhotoFrame Inc.</v>
      </c>
    </row>
    <row r="491" spans="1:8" x14ac:dyDescent="0.3">
      <c r="A491">
        <v>1490</v>
      </c>
      <c r="B491">
        <v>506</v>
      </c>
      <c r="C491" t="s">
        <v>148</v>
      </c>
      <c r="D491" s="5">
        <v>45509</v>
      </c>
      <c r="E491" t="s">
        <v>12</v>
      </c>
      <c r="F491">
        <v>2</v>
      </c>
      <c r="G491" t="str">
        <f>VLOOKUP(Table28[[#This Row],[SKU]],Supplier_Products[[#All],[Supplier]:[SKU]],3,FALSE)</f>
        <v>ChargePro</v>
      </c>
      <c r="H491" t="str" cm="1">
        <f t="array" ref="H491">_xlfn.XLOOKUP(Table28[[#This Row],[SKU]],Supplier_Products[[#All],[SKU]],Supplier_Products[[#All],[Supplier]])</f>
        <v>ChargePro</v>
      </c>
    </row>
    <row r="492" spans="1:8" x14ac:dyDescent="0.3">
      <c r="A492">
        <v>1491</v>
      </c>
      <c r="B492">
        <v>569</v>
      </c>
      <c r="C492" t="s">
        <v>156</v>
      </c>
      <c r="D492" s="5">
        <v>45617</v>
      </c>
      <c r="E492" t="s">
        <v>186</v>
      </c>
      <c r="F492">
        <v>13</v>
      </c>
      <c r="G492" t="str">
        <f>VLOOKUP(Table28[[#This Row],[SKU]],Supplier_Products[[#All],[Supplier]:[SKU]],3,FALSE)</f>
        <v>ClickTech</v>
      </c>
      <c r="H492" t="str" cm="1">
        <f t="array" ref="H492">_xlfn.XLOOKUP(Table28[[#This Row],[SKU]],Supplier_Products[[#All],[SKU]],Supplier_Products[[#All],[Supplier]])</f>
        <v>ClickTech</v>
      </c>
    </row>
    <row r="493" spans="1:8" x14ac:dyDescent="0.3">
      <c r="A493">
        <v>1492</v>
      </c>
      <c r="B493">
        <v>711</v>
      </c>
      <c r="C493" t="s">
        <v>145</v>
      </c>
      <c r="D493" s="5">
        <v>45598</v>
      </c>
      <c r="E493" t="s">
        <v>190</v>
      </c>
      <c r="F493">
        <v>5</v>
      </c>
      <c r="G493" t="str">
        <f>VLOOKUP(Table28[[#This Row],[SKU]],Supplier_Products[[#All],[Supplier]:[SKU]],3,FALSE)</f>
        <v>BrightHome</v>
      </c>
      <c r="H493" t="str" cm="1">
        <f t="array" ref="H493">_xlfn.XLOOKUP(Table28[[#This Row],[SKU]],Supplier_Products[[#All],[SKU]],Supplier_Products[[#All],[Supplier]])</f>
        <v>BrightHome</v>
      </c>
    </row>
    <row r="494" spans="1:8" x14ac:dyDescent="0.3">
      <c r="A494">
        <v>1493</v>
      </c>
      <c r="B494">
        <v>724</v>
      </c>
      <c r="C494" t="s">
        <v>110</v>
      </c>
      <c r="D494" s="5">
        <v>45407</v>
      </c>
      <c r="E494" t="s">
        <v>188</v>
      </c>
      <c r="F494">
        <v>19</v>
      </c>
      <c r="G494" t="str">
        <f>VLOOKUP(Table28[[#This Row],[SKU]],Supplier_Products[[#All],[Supplier]:[SKU]],3,FALSE)</f>
        <v>PlayMax</v>
      </c>
      <c r="H494" t="str" cm="1">
        <f t="array" ref="H494">_xlfn.XLOOKUP(Table28[[#This Row],[SKU]],Supplier_Products[[#All],[SKU]],Supplier_Products[[#All],[Supplier]])</f>
        <v>PlayMax</v>
      </c>
    </row>
    <row r="495" spans="1:8" x14ac:dyDescent="0.3">
      <c r="A495">
        <v>1494</v>
      </c>
      <c r="B495">
        <v>583</v>
      </c>
      <c r="C495" t="s">
        <v>7</v>
      </c>
      <c r="D495" s="5">
        <v>45395</v>
      </c>
      <c r="E495" t="s">
        <v>13</v>
      </c>
      <c r="F495">
        <v>2</v>
      </c>
      <c r="G495" t="str">
        <f>VLOOKUP(Table28[[#This Row],[SKU]],Supplier_Products[[#All],[Supplier]:[SKU]],3,FALSE)</f>
        <v>SoundCo</v>
      </c>
      <c r="H495" t="str" cm="1">
        <f t="array" ref="H495">_xlfn.XLOOKUP(Table28[[#This Row],[SKU]],Supplier_Products[[#All],[SKU]],Supplier_Products[[#All],[Supplier]])</f>
        <v>SoundCo</v>
      </c>
    </row>
    <row r="496" spans="1:8" x14ac:dyDescent="0.3">
      <c r="A496">
        <v>1495</v>
      </c>
      <c r="B496">
        <v>642</v>
      </c>
      <c r="C496" t="s">
        <v>121</v>
      </c>
      <c r="D496" s="5">
        <v>45513</v>
      </c>
      <c r="E496" t="s">
        <v>186</v>
      </c>
      <c r="F496">
        <v>20</v>
      </c>
      <c r="G496" t="str">
        <f>VLOOKUP(Table28[[#This Row],[SKU]],Supplier_Products[[#All],[Supplier]:[SKU]],3,FALSE)</f>
        <v>ClickTech</v>
      </c>
      <c r="H496" t="str" cm="1">
        <f t="array" ref="H496">_xlfn.XLOOKUP(Table28[[#This Row],[SKU]],Supplier_Products[[#All],[SKU]],Supplier_Products[[#All],[Supplier]])</f>
        <v>ClickTech</v>
      </c>
    </row>
    <row r="497" spans="1:8" x14ac:dyDescent="0.3">
      <c r="A497">
        <v>1496</v>
      </c>
      <c r="B497">
        <v>654</v>
      </c>
      <c r="C497" t="s">
        <v>158</v>
      </c>
      <c r="D497" s="5">
        <v>45564</v>
      </c>
      <c r="E497" t="s">
        <v>186</v>
      </c>
      <c r="F497">
        <v>9</v>
      </c>
      <c r="G497" t="str">
        <f>VLOOKUP(Table28[[#This Row],[SKU]],Supplier_Products[[#All],[Supplier]:[SKU]],3,FALSE)</f>
        <v>ClickTech</v>
      </c>
      <c r="H497" t="str" cm="1">
        <f t="array" ref="H497">_xlfn.XLOOKUP(Table28[[#This Row],[SKU]],Supplier_Products[[#All],[SKU]],Supplier_Products[[#All],[Supplier]])</f>
        <v>ClickTech</v>
      </c>
    </row>
    <row r="498" spans="1:8" x14ac:dyDescent="0.3">
      <c r="A498">
        <v>1497</v>
      </c>
      <c r="B498">
        <v>741</v>
      </c>
      <c r="C498" t="s">
        <v>11</v>
      </c>
      <c r="D498" s="5">
        <v>45508</v>
      </c>
      <c r="E498" t="s">
        <v>12</v>
      </c>
      <c r="F498">
        <v>16</v>
      </c>
      <c r="G498" t="str">
        <f>VLOOKUP(Table28[[#This Row],[SKU]],Supplier_Products[[#All],[Supplier]:[SKU]],3,FALSE)</f>
        <v>ChargePro</v>
      </c>
      <c r="H498" t="str" cm="1">
        <f t="array" ref="H498">_xlfn.XLOOKUP(Table28[[#This Row],[SKU]],Supplier_Products[[#All],[SKU]],Supplier_Products[[#All],[Supplier]])</f>
        <v>ChargePro</v>
      </c>
    </row>
    <row r="499" spans="1:8" x14ac:dyDescent="0.3">
      <c r="A499">
        <v>1498</v>
      </c>
      <c r="B499">
        <v>530</v>
      </c>
      <c r="C499" t="s">
        <v>110</v>
      </c>
      <c r="D499" s="5">
        <v>45485</v>
      </c>
      <c r="E499" t="s">
        <v>188</v>
      </c>
      <c r="F499">
        <v>18</v>
      </c>
      <c r="G499" t="str">
        <f>VLOOKUP(Table28[[#This Row],[SKU]],Supplier_Products[[#All],[Supplier]:[SKU]],3,FALSE)</f>
        <v>PlayMax</v>
      </c>
      <c r="H499" t="str" cm="1">
        <f t="array" ref="H499">_xlfn.XLOOKUP(Table28[[#This Row],[SKU]],Supplier_Products[[#All],[SKU]],Supplier_Products[[#All],[Supplier]])</f>
        <v>PlayMax</v>
      </c>
    </row>
    <row r="500" spans="1:8" x14ac:dyDescent="0.3">
      <c r="A500">
        <v>1499</v>
      </c>
      <c r="B500">
        <v>599</v>
      </c>
      <c r="C500" t="s">
        <v>156</v>
      </c>
      <c r="D500" s="5">
        <v>45505</v>
      </c>
      <c r="E500" t="s">
        <v>186</v>
      </c>
      <c r="F500">
        <v>20</v>
      </c>
      <c r="G500" t="str">
        <f>VLOOKUP(Table28[[#This Row],[SKU]],Supplier_Products[[#All],[Supplier]:[SKU]],3,FALSE)</f>
        <v>ClickTech</v>
      </c>
      <c r="H500" t="str" cm="1">
        <f t="array" ref="H500">_xlfn.XLOOKUP(Table28[[#This Row],[SKU]],Supplier_Products[[#All],[SKU]],Supplier_Products[[#All],[Supplier]])</f>
        <v>ClickTech</v>
      </c>
    </row>
    <row r="501" spans="1:8" x14ac:dyDescent="0.3">
      <c r="A501">
        <v>1500</v>
      </c>
      <c r="B501">
        <v>562</v>
      </c>
      <c r="C501" t="s">
        <v>72</v>
      </c>
      <c r="D501" s="5">
        <v>45452</v>
      </c>
      <c r="E501" t="s">
        <v>187</v>
      </c>
      <c r="F501">
        <v>16</v>
      </c>
      <c r="G501" t="str">
        <f>VLOOKUP(Table28[[#This Row],[SKU]],Supplier_Products[[#All],[Supplier]:[SKU]],3,FALSE)</f>
        <v>SoundWave</v>
      </c>
      <c r="H501" t="str" cm="1">
        <f t="array" ref="H501">_xlfn.XLOOKUP(Table28[[#This Row],[SKU]],Supplier_Products[[#All],[SKU]],Supplier_Products[[#All],[Supplier]])</f>
        <v>SoundWave</v>
      </c>
    </row>
    <row r="502" spans="1:8" x14ac:dyDescent="0.3">
      <c r="A502">
        <v>1501</v>
      </c>
      <c r="B502">
        <v>634</v>
      </c>
      <c r="C502" t="s">
        <v>148</v>
      </c>
      <c r="D502" s="5">
        <v>45627</v>
      </c>
      <c r="E502" t="s">
        <v>12</v>
      </c>
      <c r="F502">
        <v>20</v>
      </c>
      <c r="G502" t="str">
        <f>VLOOKUP(Table28[[#This Row],[SKU]],Supplier_Products[[#All],[Supplier]:[SKU]],3,FALSE)</f>
        <v>ChargePro</v>
      </c>
      <c r="H502" t="str" cm="1">
        <f t="array" ref="H502">_xlfn.XLOOKUP(Table28[[#This Row],[SKU]],Supplier_Products[[#All],[SKU]],Supplier_Products[[#All],[Supplier]])</f>
        <v>ChargePro</v>
      </c>
    </row>
    <row r="503" spans="1:8" x14ac:dyDescent="0.3">
      <c r="A503">
        <v>1502</v>
      </c>
      <c r="B503">
        <v>554</v>
      </c>
      <c r="C503" t="s">
        <v>7</v>
      </c>
      <c r="D503" s="5">
        <v>45401</v>
      </c>
      <c r="E503" t="s">
        <v>13</v>
      </c>
      <c r="F503">
        <v>13</v>
      </c>
      <c r="G503" t="str">
        <f>VLOOKUP(Table28[[#This Row],[SKU]],Supplier_Products[[#All],[Supplier]:[SKU]],3,FALSE)</f>
        <v>SoundCo</v>
      </c>
      <c r="H503" t="str" cm="1">
        <f t="array" ref="H503">_xlfn.XLOOKUP(Table28[[#This Row],[SKU]],Supplier_Products[[#All],[SKU]],Supplier_Products[[#All],[Supplier]])</f>
        <v>SoundCo</v>
      </c>
    </row>
    <row r="504" spans="1:8" x14ac:dyDescent="0.3">
      <c r="A504">
        <v>1503</v>
      </c>
      <c r="B504">
        <v>649</v>
      </c>
      <c r="C504" t="s">
        <v>148</v>
      </c>
      <c r="D504" s="5">
        <v>45307</v>
      </c>
      <c r="E504" t="s">
        <v>12</v>
      </c>
      <c r="F504">
        <v>12</v>
      </c>
      <c r="G504" t="str">
        <f>VLOOKUP(Table28[[#This Row],[SKU]],Supplier_Products[[#All],[Supplier]:[SKU]],3,FALSE)</f>
        <v>ChargePro</v>
      </c>
      <c r="H504" t="str" cm="1">
        <f t="array" ref="H504">_xlfn.XLOOKUP(Table28[[#This Row],[SKU]],Supplier_Products[[#All],[SKU]],Supplier_Products[[#All],[Supplier]])</f>
        <v>ChargePro</v>
      </c>
    </row>
    <row r="505" spans="1:8" x14ac:dyDescent="0.3">
      <c r="A505">
        <v>1504</v>
      </c>
      <c r="B505">
        <v>567</v>
      </c>
      <c r="C505" t="s">
        <v>156</v>
      </c>
      <c r="D505" s="5">
        <v>45553</v>
      </c>
      <c r="E505" t="s">
        <v>186</v>
      </c>
      <c r="F505">
        <v>5</v>
      </c>
      <c r="G505" t="str">
        <f>VLOOKUP(Table28[[#This Row],[SKU]],Supplier_Products[[#All],[Supplier]:[SKU]],3,FALSE)</f>
        <v>ClickTech</v>
      </c>
      <c r="H505" t="str" cm="1">
        <f t="array" ref="H505">_xlfn.XLOOKUP(Table28[[#This Row],[SKU]],Supplier_Products[[#All],[SKU]],Supplier_Products[[#All],[Supplier]])</f>
        <v>ClickTech</v>
      </c>
    </row>
    <row r="506" spans="1:8" x14ac:dyDescent="0.3">
      <c r="A506">
        <v>1505</v>
      </c>
      <c r="B506">
        <v>634</v>
      </c>
      <c r="C506" t="s">
        <v>10</v>
      </c>
      <c r="D506" s="5">
        <v>45397</v>
      </c>
      <c r="E506" t="s">
        <v>13</v>
      </c>
      <c r="F506">
        <v>3</v>
      </c>
      <c r="G506" t="str">
        <f>VLOOKUP(Table28[[#This Row],[SKU]],Supplier_Products[[#All],[Supplier]:[SKU]],3,FALSE)</f>
        <v>TabletMakers</v>
      </c>
      <c r="H506" t="str" cm="1">
        <f t="array" ref="H506">_xlfn.XLOOKUP(Table28[[#This Row],[SKU]],Supplier_Products[[#All],[SKU]],Supplier_Products[[#All],[Supplier]])</f>
        <v>TabletMakers</v>
      </c>
    </row>
    <row r="507" spans="1:8" x14ac:dyDescent="0.3">
      <c r="A507">
        <v>1506</v>
      </c>
      <c r="B507">
        <v>668</v>
      </c>
      <c r="C507" t="s">
        <v>158</v>
      </c>
      <c r="D507" s="5">
        <v>45424</v>
      </c>
      <c r="E507" t="s">
        <v>186</v>
      </c>
      <c r="F507">
        <v>18</v>
      </c>
      <c r="G507" t="str">
        <f>VLOOKUP(Table28[[#This Row],[SKU]],Supplier_Products[[#All],[Supplier]:[SKU]],3,FALSE)</f>
        <v>ClickTech</v>
      </c>
      <c r="H507" t="str" cm="1">
        <f t="array" ref="H507">_xlfn.XLOOKUP(Table28[[#This Row],[SKU]],Supplier_Products[[#All],[SKU]],Supplier_Products[[#All],[Supplier]])</f>
        <v>ClickTech</v>
      </c>
    </row>
    <row r="508" spans="1:8" x14ac:dyDescent="0.3">
      <c r="A508">
        <v>1507</v>
      </c>
      <c r="B508">
        <v>627</v>
      </c>
      <c r="C508" t="s">
        <v>140</v>
      </c>
      <c r="D508" s="5">
        <v>45622</v>
      </c>
      <c r="E508" t="s">
        <v>187</v>
      </c>
      <c r="F508">
        <v>11</v>
      </c>
      <c r="G508" t="str">
        <f>VLOOKUP(Table28[[#This Row],[SKU]],Supplier_Products[[#All],[Supplier]:[SKU]],3,FALSE)</f>
        <v>SoundWave</v>
      </c>
      <c r="H508" t="str" cm="1">
        <f t="array" ref="H508">_xlfn.XLOOKUP(Table28[[#This Row],[SKU]],Supplier_Products[[#All],[SKU]],Supplier_Products[[#All],[Supplier]])</f>
        <v>SoundWave</v>
      </c>
    </row>
    <row r="509" spans="1:8" x14ac:dyDescent="0.3">
      <c r="A509">
        <v>1508</v>
      </c>
      <c r="B509">
        <v>518</v>
      </c>
      <c r="C509" t="s">
        <v>181</v>
      </c>
      <c r="D509" s="5">
        <v>45619</v>
      </c>
      <c r="E509" t="s">
        <v>12</v>
      </c>
      <c r="F509">
        <v>14</v>
      </c>
      <c r="G509" t="str">
        <f>VLOOKUP(Table28[[#This Row],[SKU]],Supplier_Products[[#All],[Supplier]:[SKU]],3,FALSE)</f>
        <v>PhotoFrame Inc.</v>
      </c>
      <c r="H509" t="str" cm="1">
        <f t="array" ref="H509">_xlfn.XLOOKUP(Table28[[#This Row],[SKU]],Supplier_Products[[#All],[SKU]],Supplier_Products[[#All],[Supplier]])</f>
        <v>PhotoFrame Inc.</v>
      </c>
    </row>
    <row r="510" spans="1:8" x14ac:dyDescent="0.3">
      <c r="A510">
        <v>1509</v>
      </c>
      <c r="B510">
        <v>514</v>
      </c>
      <c r="C510" t="s">
        <v>142</v>
      </c>
      <c r="D510" s="5">
        <v>45573</v>
      </c>
      <c r="E510" t="s">
        <v>186</v>
      </c>
      <c r="F510">
        <v>10</v>
      </c>
      <c r="G510" t="str">
        <f>VLOOKUP(Table28[[#This Row],[SKU]],Supplier_Products[[#All],[Supplier]:[SKU]],3,FALSE)</f>
        <v>GPUForce</v>
      </c>
      <c r="H510" t="str" cm="1">
        <f t="array" ref="H510">_xlfn.XLOOKUP(Table28[[#This Row],[SKU]],Supplier_Products[[#All],[SKU]],Supplier_Products[[#All],[Supplier]])</f>
        <v>GPUForce</v>
      </c>
    </row>
    <row r="511" spans="1:8" x14ac:dyDescent="0.3">
      <c r="A511">
        <v>1510</v>
      </c>
      <c r="B511">
        <v>593</v>
      </c>
      <c r="C511" t="s">
        <v>181</v>
      </c>
      <c r="D511" s="5">
        <v>45439</v>
      </c>
      <c r="E511" t="s">
        <v>12</v>
      </c>
      <c r="F511">
        <v>9</v>
      </c>
      <c r="G511" t="str">
        <f>VLOOKUP(Table28[[#This Row],[SKU]],Supplier_Products[[#All],[Supplier]:[SKU]],3,FALSE)</f>
        <v>PhotoFrame Inc.</v>
      </c>
      <c r="H511" t="str" cm="1">
        <f t="array" ref="H511">_xlfn.XLOOKUP(Table28[[#This Row],[SKU]],Supplier_Products[[#All],[SKU]],Supplier_Products[[#All],[Supplier]])</f>
        <v>PhotoFrame Inc.</v>
      </c>
    </row>
    <row r="512" spans="1:8" x14ac:dyDescent="0.3">
      <c r="A512">
        <v>1511</v>
      </c>
      <c r="B512">
        <v>687</v>
      </c>
      <c r="C512" t="s">
        <v>162</v>
      </c>
      <c r="D512" s="5">
        <v>45490</v>
      </c>
      <c r="E512" t="s">
        <v>189</v>
      </c>
      <c r="F512">
        <v>2</v>
      </c>
      <c r="G512" t="str">
        <f>VLOOKUP(Table28[[#This Row],[SKU]],Supplier_Products[[#All],[Supplier]:[SKU]],3,FALSE)</f>
        <v>AeroTech</v>
      </c>
      <c r="H512" t="str" cm="1">
        <f t="array" ref="H512">_xlfn.XLOOKUP(Table28[[#This Row],[SKU]],Supplier_Products[[#All],[SKU]],Supplier_Products[[#All],[Supplier]])</f>
        <v>AeroTech</v>
      </c>
    </row>
    <row r="513" spans="1:8" x14ac:dyDescent="0.3">
      <c r="A513">
        <v>1512</v>
      </c>
      <c r="B513">
        <v>585</v>
      </c>
      <c r="C513" t="s">
        <v>10</v>
      </c>
      <c r="D513" s="5">
        <v>45563</v>
      </c>
      <c r="E513" t="s">
        <v>13</v>
      </c>
      <c r="F513">
        <v>3</v>
      </c>
      <c r="G513" t="str">
        <f>VLOOKUP(Table28[[#This Row],[SKU]],Supplier_Products[[#All],[Supplier]:[SKU]],3,FALSE)</f>
        <v>TabletMakers</v>
      </c>
      <c r="H513" t="str" cm="1">
        <f t="array" ref="H513">_xlfn.XLOOKUP(Table28[[#This Row],[SKU]],Supplier_Products[[#All],[SKU]],Supplier_Products[[#All],[Supplier]])</f>
        <v>TabletMakers</v>
      </c>
    </row>
    <row r="514" spans="1:8" x14ac:dyDescent="0.3">
      <c r="A514">
        <v>1513</v>
      </c>
      <c r="B514">
        <v>603</v>
      </c>
      <c r="C514" t="s">
        <v>142</v>
      </c>
      <c r="D514" s="5">
        <v>45359</v>
      </c>
      <c r="E514" t="s">
        <v>186</v>
      </c>
      <c r="F514">
        <v>5</v>
      </c>
      <c r="G514" t="str">
        <f>VLOOKUP(Table28[[#This Row],[SKU]],Supplier_Products[[#All],[Supplier]:[SKU]],3,FALSE)</f>
        <v>GPUForce</v>
      </c>
      <c r="H514" t="str" cm="1">
        <f t="array" ref="H514">_xlfn.XLOOKUP(Table28[[#This Row],[SKU]],Supplier_Products[[#All],[SKU]],Supplier_Products[[#All],[Supplier]])</f>
        <v>GPUForce</v>
      </c>
    </row>
    <row r="515" spans="1:8" x14ac:dyDescent="0.3">
      <c r="A515">
        <v>1514</v>
      </c>
      <c r="B515">
        <v>517</v>
      </c>
      <c r="C515" t="s">
        <v>154</v>
      </c>
      <c r="D515" s="5">
        <v>45413</v>
      </c>
      <c r="E515" t="s">
        <v>187</v>
      </c>
      <c r="F515">
        <v>4</v>
      </c>
      <c r="G515" t="str">
        <f>VLOOKUP(Table28[[#This Row],[SKU]],Supplier_Products[[#All],[Supplier]:[SKU]],3,FALSE)</f>
        <v>ShutterPro</v>
      </c>
      <c r="H515" t="str" cm="1">
        <f t="array" ref="H515">_xlfn.XLOOKUP(Table28[[#This Row],[SKU]],Supplier_Products[[#All],[SKU]],Supplier_Products[[#All],[Supplier]])</f>
        <v>ShutterPro</v>
      </c>
    </row>
    <row r="516" spans="1:8" x14ac:dyDescent="0.3">
      <c r="A516">
        <v>1515</v>
      </c>
      <c r="B516">
        <v>618</v>
      </c>
      <c r="C516" t="s">
        <v>117</v>
      </c>
      <c r="D516" s="5">
        <v>45311</v>
      </c>
      <c r="E516" t="s">
        <v>190</v>
      </c>
      <c r="F516">
        <v>12</v>
      </c>
      <c r="G516" t="str">
        <f>VLOOKUP(Table28[[#This Row],[SKU]],Supplier_Products[[#All],[Supplier]:[SKU]],3,FALSE)</f>
        <v>DataSafe</v>
      </c>
      <c r="H516" t="str" cm="1">
        <f t="array" ref="H516">_xlfn.XLOOKUP(Table28[[#This Row],[SKU]],Supplier_Products[[#All],[SKU]],Supplier_Products[[#All],[Supplier]])</f>
        <v>DataSafe</v>
      </c>
    </row>
    <row r="517" spans="1:8" x14ac:dyDescent="0.3">
      <c r="A517">
        <v>1516</v>
      </c>
      <c r="B517">
        <v>607</v>
      </c>
      <c r="C517" t="s">
        <v>175</v>
      </c>
      <c r="D517" s="5">
        <v>45489</v>
      </c>
      <c r="E517" t="s">
        <v>186</v>
      </c>
      <c r="F517">
        <v>15</v>
      </c>
      <c r="G517" t="str">
        <f>VLOOKUP(Table28[[#This Row],[SKU]],Supplier_Products[[#All],[Supplier]:[SKU]],3,FALSE)</f>
        <v>DisplayPro</v>
      </c>
      <c r="H517" t="str" cm="1">
        <f t="array" ref="H517">_xlfn.XLOOKUP(Table28[[#This Row],[SKU]],Supplier_Products[[#All],[SKU]],Supplier_Products[[#All],[Supplier]])</f>
        <v>DisplayPro</v>
      </c>
    </row>
    <row r="518" spans="1:8" x14ac:dyDescent="0.3">
      <c r="A518">
        <v>1517</v>
      </c>
      <c r="B518">
        <v>526</v>
      </c>
      <c r="C518" t="s">
        <v>140</v>
      </c>
      <c r="D518" s="5">
        <v>45616</v>
      </c>
      <c r="E518" t="s">
        <v>187</v>
      </c>
      <c r="F518">
        <v>19</v>
      </c>
      <c r="G518" t="str">
        <f>VLOOKUP(Table28[[#This Row],[SKU]],Supplier_Products[[#All],[Supplier]:[SKU]],3,FALSE)</f>
        <v>SoundWave</v>
      </c>
      <c r="H518" t="str" cm="1">
        <f t="array" ref="H518">_xlfn.XLOOKUP(Table28[[#This Row],[SKU]],Supplier_Products[[#All],[SKU]],Supplier_Products[[#All],[Supplier]])</f>
        <v>SoundWave</v>
      </c>
    </row>
    <row r="519" spans="1:8" x14ac:dyDescent="0.3">
      <c r="A519">
        <v>1518</v>
      </c>
      <c r="B519">
        <v>692</v>
      </c>
      <c r="C519" t="s">
        <v>10</v>
      </c>
      <c r="D519" s="5">
        <v>45584</v>
      </c>
      <c r="E519" t="s">
        <v>13</v>
      </c>
      <c r="F519">
        <v>12</v>
      </c>
      <c r="G519" t="str">
        <f>VLOOKUP(Table28[[#This Row],[SKU]],Supplier_Products[[#All],[Supplier]:[SKU]],3,FALSE)</f>
        <v>TabletMakers</v>
      </c>
      <c r="H519" t="str" cm="1">
        <f t="array" ref="H519">_xlfn.XLOOKUP(Table28[[#This Row],[SKU]],Supplier_Products[[#All],[SKU]],Supplier_Products[[#All],[Supplier]])</f>
        <v>TabletMakers</v>
      </c>
    </row>
    <row r="520" spans="1:8" x14ac:dyDescent="0.3">
      <c r="A520">
        <v>1519</v>
      </c>
      <c r="B520">
        <v>555</v>
      </c>
      <c r="C520" t="s">
        <v>148</v>
      </c>
      <c r="D520" s="5">
        <v>45491</v>
      </c>
      <c r="E520" t="s">
        <v>12</v>
      </c>
      <c r="F520">
        <v>15</v>
      </c>
      <c r="G520" t="str">
        <f>VLOOKUP(Table28[[#This Row],[SKU]],Supplier_Products[[#All],[Supplier]:[SKU]],3,FALSE)</f>
        <v>ChargePro</v>
      </c>
      <c r="H520" t="str" cm="1">
        <f t="array" ref="H520">_xlfn.XLOOKUP(Table28[[#This Row],[SKU]],Supplier_Products[[#All],[SKU]],Supplier_Products[[#All],[Supplier]])</f>
        <v>ChargePro</v>
      </c>
    </row>
    <row r="521" spans="1:8" x14ac:dyDescent="0.3">
      <c r="A521">
        <v>1520</v>
      </c>
      <c r="B521">
        <v>591</v>
      </c>
      <c r="C521" t="s">
        <v>114</v>
      </c>
      <c r="D521" s="5">
        <v>45375</v>
      </c>
      <c r="E521" t="s">
        <v>189</v>
      </c>
      <c r="F521">
        <v>7</v>
      </c>
      <c r="G521" t="str">
        <f>VLOOKUP(Table28[[#This Row],[SKU]],Supplier_Products[[#All],[Supplier]:[SKU]],3,FALSE)</f>
        <v>VisionTech</v>
      </c>
      <c r="H521" t="str" cm="1">
        <f t="array" ref="H521">_xlfn.XLOOKUP(Table28[[#This Row],[SKU]],Supplier_Products[[#All],[SKU]],Supplier_Products[[#All],[Supplier]])</f>
        <v>VisionTech</v>
      </c>
    </row>
    <row r="522" spans="1:8" x14ac:dyDescent="0.3">
      <c r="A522">
        <v>1521</v>
      </c>
      <c r="B522">
        <v>705</v>
      </c>
      <c r="C522" t="s">
        <v>72</v>
      </c>
      <c r="D522" s="5">
        <v>45340</v>
      </c>
      <c r="E522" t="s">
        <v>187</v>
      </c>
      <c r="F522">
        <v>10</v>
      </c>
      <c r="G522" t="str">
        <f>VLOOKUP(Table28[[#This Row],[SKU]],Supplier_Products[[#All],[Supplier]:[SKU]],3,FALSE)</f>
        <v>SoundWave</v>
      </c>
      <c r="H522" t="str" cm="1">
        <f t="array" ref="H522">_xlfn.XLOOKUP(Table28[[#This Row],[SKU]],Supplier_Products[[#All],[SKU]],Supplier_Products[[#All],[Supplier]])</f>
        <v>SoundWave</v>
      </c>
    </row>
    <row r="523" spans="1:8" x14ac:dyDescent="0.3">
      <c r="A523">
        <v>1522</v>
      </c>
      <c r="B523">
        <v>674</v>
      </c>
      <c r="C523" t="s">
        <v>123</v>
      </c>
      <c r="D523" s="5">
        <v>45473</v>
      </c>
      <c r="E523" t="s">
        <v>189</v>
      </c>
      <c r="F523">
        <v>13</v>
      </c>
      <c r="G523" t="str">
        <f>VLOOKUP(Table28[[#This Row],[SKU]],Supplier_Products[[#All],[Supplier]:[SKU]],3,FALSE)</f>
        <v>VRWorld</v>
      </c>
      <c r="H523" t="str" cm="1">
        <f t="array" ref="H523">_xlfn.XLOOKUP(Table28[[#This Row],[SKU]],Supplier_Products[[#All],[SKU]],Supplier_Products[[#All],[Supplier]])</f>
        <v>VRWorld</v>
      </c>
    </row>
    <row r="524" spans="1:8" x14ac:dyDescent="0.3">
      <c r="A524">
        <v>1523</v>
      </c>
      <c r="B524">
        <v>680</v>
      </c>
      <c r="C524" t="s">
        <v>129</v>
      </c>
      <c r="D524" s="5">
        <v>45562</v>
      </c>
      <c r="E524" t="s">
        <v>12</v>
      </c>
      <c r="F524">
        <v>6</v>
      </c>
      <c r="G524" t="str">
        <f>VLOOKUP(Table28[[#This Row],[SKU]],Supplier_Products[[#All],[Supplier]:[SKU]],3,FALSE)</f>
        <v>StreamIt</v>
      </c>
      <c r="H524" t="str" cm="1">
        <f t="array" ref="H524">_xlfn.XLOOKUP(Table28[[#This Row],[SKU]],Supplier_Products[[#All],[SKU]],Supplier_Products[[#All],[Supplier]])</f>
        <v>StreamIt</v>
      </c>
    </row>
    <row r="525" spans="1:8" x14ac:dyDescent="0.3">
      <c r="A525">
        <v>1524</v>
      </c>
      <c r="B525">
        <v>709</v>
      </c>
      <c r="C525" t="s">
        <v>110</v>
      </c>
      <c r="D525" s="5">
        <v>45340</v>
      </c>
      <c r="E525" t="s">
        <v>188</v>
      </c>
      <c r="F525">
        <v>7</v>
      </c>
      <c r="G525" t="str">
        <f>VLOOKUP(Table28[[#This Row],[SKU]],Supplier_Products[[#All],[Supplier]:[SKU]],3,FALSE)</f>
        <v>PlayMax</v>
      </c>
      <c r="H525" t="str" cm="1">
        <f t="array" ref="H525">_xlfn.XLOOKUP(Table28[[#This Row],[SKU]],Supplier_Products[[#All],[SKU]],Supplier_Products[[#All],[Supplier]])</f>
        <v>PlayMax</v>
      </c>
    </row>
    <row r="526" spans="1:8" x14ac:dyDescent="0.3">
      <c r="A526">
        <v>1525</v>
      </c>
      <c r="B526">
        <v>659</v>
      </c>
      <c r="C526" t="s">
        <v>175</v>
      </c>
      <c r="D526" s="5">
        <v>45460</v>
      </c>
      <c r="E526" t="s">
        <v>186</v>
      </c>
      <c r="F526">
        <v>14</v>
      </c>
      <c r="G526" t="str">
        <f>VLOOKUP(Table28[[#This Row],[SKU]],Supplier_Products[[#All],[Supplier]:[SKU]],3,FALSE)</f>
        <v>DisplayPro</v>
      </c>
      <c r="H526" t="str" cm="1">
        <f t="array" ref="H526">_xlfn.XLOOKUP(Table28[[#This Row],[SKU]],Supplier_Products[[#All],[SKU]],Supplier_Products[[#All],[Supplier]])</f>
        <v>DisplayPro</v>
      </c>
    </row>
    <row r="527" spans="1:8" x14ac:dyDescent="0.3">
      <c r="A527">
        <v>1526</v>
      </c>
      <c r="B527">
        <v>652</v>
      </c>
      <c r="C527" t="s">
        <v>123</v>
      </c>
      <c r="D527" s="5">
        <v>45598</v>
      </c>
      <c r="E527" t="s">
        <v>189</v>
      </c>
      <c r="F527">
        <v>17</v>
      </c>
      <c r="G527" t="str">
        <f>VLOOKUP(Table28[[#This Row],[SKU]],Supplier_Products[[#All],[Supplier]:[SKU]],3,FALSE)</f>
        <v>VRWorld</v>
      </c>
      <c r="H527" t="str" cm="1">
        <f t="array" ref="H527">_xlfn.XLOOKUP(Table28[[#This Row],[SKU]],Supplier_Products[[#All],[SKU]],Supplier_Products[[#All],[Supplier]])</f>
        <v>VRWorld</v>
      </c>
    </row>
    <row r="528" spans="1:8" x14ac:dyDescent="0.3">
      <c r="A528">
        <v>1527</v>
      </c>
      <c r="B528">
        <v>702</v>
      </c>
      <c r="C528" t="s">
        <v>181</v>
      </c>
      <c r="D528" s="5">
        <v>45488</v>
      </c>
      <c r="E528" t="s">
        <v>12</v>
      </c>
      <c r="F528">
        <v>11</v>
      </c>
      <c r="G528" t="str">
        <f>VLOOKUP(Table28[[#This Row],[SKU]],Supplier_Products[[#All],[Supplier]:[SKU]],3,FALSE)</f>
        <v>PhotoFrame Inc.</v>
      </c>
      <c r="H528" t="str" cm="1">
        <f t="array" ref="H528">_xlfn.XLOOKUP(Table28[[#This Row],[SKU]],Supplier_Products[[#All],[SKU]],Supplier_Products[[#All],[Supplier]])</f>
        <v>PhotoFrame Inc.</v>
      </c>
    </row>
    <row r="529" spans="1:8" x14ac:dyDescent="0.3">
      <c r="A529">
        <v>1528</v>
      </c>
      <c r="B529">
        <v>533</v>
      </c>
      <c r="C529" t="s">
        <v>158</v>
      </c>
      <c r="D529" s="5">
        <v>45433</v>
      </c>
      <c r="E529" t="s">
        <v>186</v>
      </c>
      <c r="F529">
        <v>2</v>
      </c>
      <c r="G529" t="str">
        <f>VLOOKUP(Table28[[#This Row],[SKU]],Supplier_Products[[#All],[Supplier]:[SKU]],3,FALSE)</f>
        <v>ClickTech</v>
      </c>
      <c r="H529" t="str" cm="1">
        <f t="array" ref="H529">_xlfn.XLOOKUP(Table28[[#This Row],[SKU]],Supplier_Products[[#All],[SKU]],Supplier_Products[[#All],[Supplier]])</f>
        <v>ClickTech</v>
      </c>
    </row>
    <row r="530" spans="1:8" x14ac:dyDescent="0.3">
      <c r="A530">
        <v>1529</v>
      </c>
      <c r="B530">
        <v>589</v>
      </c>
      <c r="C530" t="s">
        <v>11</v>
      </c>
      <c r="D530" s="5">
        <v>45364</v>
      </c>
      <c r="E530" t="s">
        <v>12</v>
      </c>
      <c r="F530">
        <v>1</v>
      </c>
      <c r="G530" t="str">
        <f>VLOOKUP(Table28[[#This Row],[SKU]],Supplier_Products[[#All],[Supplier]:[SKU]],3,FALSE)</f>
        <v>ChargePro</v>
      </c>
      <c r="H530" t="str" cm="1">
        <f t="array" ref="H530">_xlfn.XLOOKUP(Table28[[#This Row],[SKU]],Supplier_Products[[#All],[SKU]],Supplier_Products[[#All],[Supplier]])</f>
        <v>ChargePro</v>
      </c>
    </row>
    <row r="531" spans="1:8" x14ac:dyDescent="0.3">
      <c r="A531">
        <v>1530</v>
      </c>
      <c r="B531">
        <v>632</v>
      </c>
      <c r="C531" t="s">
        <v>8</v>
      </c>
      <c r="D531" s="5">
        <v>45534</v>
      </c>
      <c r="E531" t="s">
        <v>15</v>
      </c>
      <c r="F531">
        <v>15</v>
      </c>
      <c r="G531" t="str">
        <f>VLOOKUP(Table28[[#This Row],[SKU]],Supplier_Products[[#All],[Supplier]:[SKU]],3,FALSE)</f>
        <v>Wearable Inc.</v>
      </c>
      <c r="H531" t="str" cm="1">
        <f t="array" ref="H531">_xlfn.XLOOKUP(Table28[[#This Row],[SKU]],Supplier_Products[[#All],[SKU]],Supplier_Products[[#All],[Supplier]])</f>
        <v>Wearable Inc.</v>
      </c>
    </row>
    <row r="532" spans="1:8" x14ac:dyDescent="0.3">
      <c r="A532">
        <v>1531</v>
      </c>
      <c r="B532">
        <v>536</v>
      </c>
      <c r="C532" t="s">
        <v>123</v>
      </c>
      <c r="D532" s="5">
        <v>45299</v>
      </c>
      <c r="E532" t="s">
        <v>189</v>
      </c>
      <c r="F532">
        <v>15</v>
      </c>
      <c r="G532" t="str">
        <f>VLOOKUP(Table28[[#This Row],[SKU]],Supplier_Products[[#All],[Supplier]:[SKU]],3,FALSE)</f>
        <v>VRWorld</v>
      </c>
      <c r="H532" t="str" cm="1">
        <f t="array" ref="H532">_xlfn.XLOOKUP(Table28[[#This Row],[SKU]],Supplier_Products[[#All],[SKU]],Supplier_Products[[#All],[Supplier]])</f>
        <v>VRWorld</v>
      </c>
    </row>
    <row r="533" spans="1:8" x14ac:dyDescent="0.3">
      <c r="A533">
        <v>1532</v>
      </c>
      <c r="B533">
        <v>708</v>
      </c>
      <c r="C533" t="s">
        <v>72</v>
      </c>
      <c r="D533" s="5">
        <v>45460</v>
      </c>
      <c r="E533" t="s">
        <v>187</v>
      </c>
      <c r="F533">
        <v>16</v>
      </c>
      <c r="G533" t="str">
        <f>VLOOKUP(Table28[[#This Row],[SKU]],Supplier_Products[[#All],[Supplier]:[SKU]],3,FALSE)</f>
        <v>SoundWave</v>
      </c>
      <c r="H533" t="str" cm="1">
        <f t="array" ref="H533">_xlfn.XLOOKUP(Table28[[#This Row],[SKU]],Supplier_Products[[#All],[SKU]],Supplier_Products[[#All],[Supplier]])</f>
        <v>SoundWave</v>
      </c>
    </row>
    <row r="534" spans="1:8" x14ac:dyDescent="0.3">
      <c r="A534">
        <v>1533</v>
      </c>
      <c r="B534">
        <v>653</v>
      </c>
      <c r="C534" t="s">
        <v>7</v>
      </c>
      <c r="D534" s="5">
        <v>45434</v>
      </c>
      <c r="E534" t="s">
        <v>13</v>
      </c>
      <c r="F534">
        <v>6</v>
      </c>
      <c r="G534" t="str">
        <f>VLOOKUP(Table28[[#This Row],[SKU]],Supplier_Products[[#All],[Supplier]:[SKU]],3,FALSE)</f>
        <v>SoundCo</v>
      </c>
      <c r="H534" t="str" cm="1">
        <f t="array" ref="H534">_xlfn.XLOOKUP(Table28[[#This Row],[SKU]],Supplier_Products[[#All],[SKU]],Supplier_Products[[#All],[Supplier]])</f>
        <v>SoundCo</v>
      </c>
    </row>
    <row r="535" spans="1:8" x14ac:dyDescent="0.3">
      <c r="A535">
        <v>1534</v>
      </c>
      <c r="B535">
        <v>620</v>
      </c>
      <c r="C535" t="s">
        <v>173</v>
      </c>
      <c r="D535" s="5">
        <v>45633</v>
      </c>
      <c r="E535" t="s">
        <v>14</v>
      </c>
      <c r="F535">
        <v>15</v>
      </c>
      <c r="G535" t="str">
        <f>VLOOKUP(Table28[[#This Row],[SKU]],Supplier_Products[[#All],[Supplier]:[SKU]],3,FALSE)</f>
        <v>SafeTech</v>
      </c>
      <c r="H535" t="str" cm="1">
        <f t="array" ref="H535">_xlfn.XLOOKUP(Table28[[#This Row],[SKU]],Supplier_Products[[#All],[SKU]],Supplier_Products[[#All],[Supplier]])</f>
        <v>SafeTech</v>
      </c>
    </row>
    <row r="536" spans="1:8" x14ac:dyDescent="0.3">
      <c r="A536">
        <v>1535</v>
      </c>
      <c r="B536">
        <v>598</v>
      </c>
      <c r="C536" t="s">
        <v>166</v>
      </c>
      <c r="D536" s="5">
        <v>45415</v>
      </c>
      <c r="E536" t="s">
        <v>191</v>
      </c>
      <c r="F536">
        <v>7</v>
      </c>
      <c r="G536" t="str">
        <f>VLOOKUP(Table28[[#This Row],[SKU]],Supplier_Products[[#All],[Supplier]:[SKU]],3,FALSE)</f>
        <v>BookTech</v>
      </c>
      <c r="H536" t="str" cm="1">
        <f t="array" ref="H536">_xlfn.XLOOKUP(Table28[[#This Row],[SKU]],Supplier_Products[[#All],[SKU]],Supplier_Products[[#All],[Supplier]])</f>
        <v>BookTech</v>
      </c>
    </row>
    <row r="537" spans="1:8" x14ac:dyDescent="0.3">
      <c r="A537">
        <v>1536</v>
      </c>
      <c r="B537">
        <v>589</v>
      </c>
      <c r="C537" t="s">
        <v>126</v>
      </c>
      <c r="D537" s="5">
        <v>45622</v>
      </c>
      <c r="E537" t="s">
        <v>191</v>
      </c>
      <c r="F537">
        <v>4</v>
      </c>
      <c r="G537" t="str">
        <f>VLOOKUP(Table28[[#This Row],[SKU]],Supplier_Products[[#All],[Supplier]:[SKU]],3,FALSE)</f>
        <v>FitTech</v>
      </c>
      <c r="H537" t="str" cm="1">
        <f t="array" ref="H537">_xlfn.XLOOKUP(Table28[[#This Row],[SKU]],Supplier_Products[[#All],[SKU]],Supplier_Products[[#All],[Supplier]])</f>
        <v>FitTech</v>
      </c>
    </row>
    <row r="538" spans="1:8" x14ac:dyDescent="0.3">
      <c r="A538">
        <v>1537</v>
      </c>
      <c r="B538">
        <v>505</v>
      </c>
      <c r="C538" t="s">
        <v>137</v>
      </c>
      <c r="D538" s="5">
        <v>45604</v>
      </c>
      <c r="E538" t="s">
        <v>188</v>
      </c>
      <c r="F538">
        <v>14</v>
      </c>
      <c r="G538" t="str">
        <f>VLOOKUP(Table28[[#This Row],[SKU]],Supplier_Products[[#All],[Supplier]:[SKU]],3,FALSE)</f>
        <v>CleanBot</v>
      </c>
      <c r="H538" t="str" cm="1">
        <f t="array" ref="H538">_xlfn.XLOOKUP(Table28[[#This Row],[SKU]],Supplier_Products[[#All],[SKU]],Supplier_Products[[#All],[Supplier]])</f>
        <v>CleanBot</v>
      </c>
    </row>
    <row r="539" spans="1:8" x14ac:dyDescent="0.3">
      <c r="A539">
        <v>1538</v>
      </c>
      <c r="B539">
        <v>623</v>
      </c>
      <c r="C539" t="s">
        <v>114</v>
      </c>
      <c r="D539" s="5">
        <v>45384</v>
      </c>
      <c r="E539" t="s">
        <v>189</v>
      </c>
      <c r="F539">
        <v>9</v>
      </c>
      <c r="G539" t="str">
        <f>VLOOKUP(Table28[[#This Row],[SKU]],Supplier_Products[[#All],[Supplier]:[SKU]],3,FALSE)</f>
        <v>VisionTech</v>
      </c>
      <c r="H539" t="str" cm="1">
        <f t="array" ref="H539">_xlfn.XLOOKUP(Table28[[#This Row],[SKU]],Supplier_Products[[#All],[SKU]],Supplier_Products[[#All],[Supplier]])</f>
        <v>VisionTech</v>
      </c>
    </row>
    <row r="540" spans="1:8" x14ac:dyDescent="0.3">
      <c r="A540">
        <v>1539</v>
      </c>
      <c r="B540">
        <v>587</v>
      </c>
      <c r="C540" t="s">
        <v>173</v>
      </c>
      <c r="D540" s="5">
        <v>45499</v>
      </c>
      <c r="E540" t="s">
        <v>14</v>
      </c>
      <c r="F540">
        <v>19</v>
      </c>
      <c r="G540" t="str">
        <f>VLOOKUP(Table28[[#This Row],[SKU]],Supplier_Products[[#All],[Supplier]:[SKU]],3,FALSE)</f>
        <v>SafeTech</v>
      </c>
      <c r="H540" t="str" cm="1">
        <f t="array" ref="H540">_xlfn.XLOOKUP(Table28[[#This Row],[SKU]],Supplier_Products[[#All],[SKU]],Supplier_Products[[#All],[Supplier]])</f>
        <v>SafeTech</v>
      </c>
    </row>
    <row r="541" spans="1:8" x14ac:dyDescent="0.3">
      <c r="A541">
        <v>1540</v>
      </c>
      <c r="B541">
        <v>524</v>
      </c>
      <c r="C541" t="s">
        <v>148</v>
      </c>
      <c r="D541" s="5">
        <v>45450</v>
      </c>
      <c r="E541" t="s">
        <v>12</v>
      </c>
      <c r="F541">
        <v>3</v>
      </c>
      <c r="G541" t="str">
        <f>VLOOKUP(Table28[[#This Row],[SKU]],Supplier_Products[[#All],[Supplier]:[SKU]],3,FALSE)</f>
        <v>ChargePro</v>
      </c>
      <c r="H541" t="str" cm="1">
        <f t="array" ref="H541">_xlfn.XLOOKUP(Table28[[#This Row],[SKU]],Supplier_Products[[#All],[SKU]],Supplier_Products[[#All],[Supplier]])</f>
        <v>ChargePro</v>
      </c>
    </row>
    <row r="542" spans="1:8" x14ac:dyDescent="0.3">
      <c r="A542">
        <v>1541</v>
      </c>
      <c r="B542">
        <v>694</v>
      </c>
      <c r="C542" t="s">
        <v>184</v>
      </c>
      <c r="D542" s="5">
        <v>45454</v>
      </c>
      <c r="E542" t="s">
        <v>189</v>
      </c>
      <c r="F542">
        <v>17</v>
      </c>
      <c r="G542" t="str">
        <f>VLOOKUP(Table28[[#This Row],[SKU]],Supplier_Products[[#All],[Supplier]:[SKU]],3,FALSE)</f>
        <v>VisionTech</v>
      </c>
      <c r="H542" t="str" cm="1">
        <f t="array" ref="H542">_xlfn.XLOOKUP(Table28[[#This Row],[SKU]],Supplier_Products[[#All],[SKU]],Supplier_Products[[#All],[Supplier]])</f>
        <v>VisionTech</v>
      </c>
    </row>
    <row r="543" spans="1:8" x14ac:dyDescent="0.3">
      <c r="A543">
        <v>1542</v>
      </c>
      <c r="B543">
        <v>660</v>
      </c>
      <c r="C543" t="s">
        <v>10</v>
      </c>
      <c r="D543" s="5">
        <v>45428</v>
      </c>
      <c r="E543" t="s">
        <v>13</v>
      </c>
      <c r="F543">
        <v>13</v>
      </c>
      <c r="G543" t="str">
        <f>VLOOKUP(Table28[[#This Row],[SKU]],Supplier_Products[[#All],[Supplier]:[SKU]],3,FALSE)</f>
        <v>TabletMakers</v>
      </c>
      <c r="H543" t="str" cm="1">
        <f t="array" ref="H543">_xlfn.XLOOKUP(Table28[[#This Row],[SKU]],Supplier_Products[[#All],[SKU]],Supplier_Products[[#All],[Supplier]])</f>
        <v>TabletMakers</v>
      </c>
    </row>
    <row r="544" spans="1:8" x14ac:dyDescent="0.3">
      <c r="A544">
        <v>1543</v>
      </c>
      <c r="B544">
        <v>551</v>
      </c>
      <c r="C544" t="s">
        <v>162</v>
      </c>
      <c r="D544" s="5">
        <v>45640</v>
      </c>
      <c r="E544" t="s">
        <v>189</v>
      </c>
      <c r="F544">
        <v>10</v>
      </c>
      <c r="G544" t="str">
        <f>VLOOKUP(Table28[[#This Row],[SKU]],Supplier_Products[[#All],[Supplier]:[SKU]],3,FALSE)</f>
        <v>AeroTech</v>
      </c>
      <c r="H544" t="str" cm="1">
        <f t="array" ref="H544">_xlfn.XLOOKUP(Table28[[#This Row],[SKU]],Supplier_Products[[#All],[SKU]],Supplier_Products[[#All],[Supplier]])</f>
        <v>AeroTech</v>
      </c>
    </row>
    <row r="545" spans="1:8" x14ac:dyDescent="0.3">
      <c r="A545">
        <v>1544</v>
      </c>
      <c r="B545">
        <v>509</v>
      </c>
      <c r="C545" t="s">
        <v>126</v>
      </c>
      <c r="D545" s="5">
        <v>45426</v>
      </c>
      <c r="E545" t="s">
        <v>191</v>
      </c>
      <c r="F545">
        <v>10</v>
      </c>
      <c r="G545" t="str">
        <f>VLOOKUP(Table28[[#This Row],[SKU]],Supplier_Products[[#All],[Supplier]:[SKU]],3,FALSE)</f>
        <v>FitTech</v>
      </c>
      <c r="H545" t="str" cm="1">
        <f t="array" ref="H545">_xlfn.XLOOKUP(Table28[[#This Row],[SKU]],Supplier_Products[[#All],[SKU]],Supplier_Products[[#All],[Supplier]])</f>
        <v>FitTech</v>
      </c>
    </row>
    <row r="546" spans="1:8" x14ac:dyDescent="0.3">
      <c r="A546">
        <v>1545</v>
      </c>
      <c r="B546">
        <v>690</v>
      </c>
      <c r="C546" t="s">
        <v>6</v>
      </c>
      <c r="D546" s="5">
        <v>45571</v>
      </c>
      <c r="E546" t="s">
        <v>12</v>
      </c>
      <c r="F546">
        <v>14</v>
      </c>
      <c r="G546" t="str">
        <f>VLOOKUP(Table28[[#This Row],[SKU]],Supplier_Products[[#All],[Supplier]:[SKU]],3,FALSE)</f>
        <v>TechCorp</v>
      </c>
      <c r="H546" t="str" cm="1">
        <f t="array" ref="H546">_xlfn.XLOOKUP(Table28[[#This Row],[SKU]],Supplier_Products[[#All],[SKU]],Supplier_Products[[#All],[Supplier]])</f>
        <v>TechCorp</v>
      </c>
    </row>
    <row r="547" spans="1:8" x14ac:dyDescent="0.3">
      <c r="A547">
        <v>1546</v>
      </c>
      <c r="B547">
        <v>509</v>
      </c>
      <c r="C547" t="s">
        <v>9</v>
      </c>
      <c r="D547" s="5">
        <v>45390</v>
      </c>
      <c r="E547" t="s">
        <v>14</v>
      </c>
      <c r="F547">
        <v>14</v>
      </c>
      <c r="G547" t="str">
        <f>VLOOKUP(Table28[[#This Row],[SKU]],Supplier_Products[[#All],[Supplier]:[SKU]],3,FALSE)</f>
        <v>CompuTech</v>
      </c>
      <c r="H547" t="str" cm="1">
        <f t="array" ref="H547">_xlfn.XLOOKUP(Table28[[#This Row],[SKU]],Supplier_Products[[#All],[SKU]],Supplier_Products[[#All],[Supplier]])</f>
        <v>CompuTech</v>
      </c>
    </row>
    <row r="548" spans="1:8" x14ac:dyDescent="0.3">
      <c r="A548">
        <v>1547</v>
      </c>
      <c r="B548">
        <v>749</v>
      </c>
      <c r="C548" t="s">
        <v>129</v>
      </c>
      <c r="D548" s="5">
        <v>45417</v>
      </c>
      <c r="E548" t="s">
        <v>12</v>
      </c>
      <c r="F548">
        <v>13</v>
      </c>
      <c r="G548" t="str">
        <f>VLOOKUP(Table28[[#This Row],[SKU]],Supplier_Products[[#All],[Supplier]:[SKU]],3,FALSE)</f>
        <v>StreamIt</v>
      </c>
      <c r="H548" t="str" cm="1">
        <f t="array" ref="H548">_xlfn.XLOOKUP(Table28[[#This Row],[SKU]],Supplier_Products[[#All],[SKU]],Supplier_Products[[#All],[Supplier]])</f>
        <v>StreamIt</v>
      </c>
    </row>
    <row r="549" spans="1:8" x14ac:dyDescent="0.3">
      <c r="A549">
        <v>1548</v>
      </c>
      <c r="B549">
        <v>669</v>
      </c>
      <c r="C549" t="s">
        <v>72</v>
      </c>
      <c r="D549" s="5">
        <v>45584</v>
      </c>
      <c r="E549" t="s">
        <v>187</v>
      </c>
      <c r="F549">
        <v>11</v>
      </c>
      <c r="G549" t="str">
        <f>VLOOKUP(Table28[[#This Row],[SKU]],Supplier_Products[[#All],[Supplier]:[SKU]],3,FALSE)</f>
        <v>SoundWave</v>
      </c>
      <c r="H549" t="str" cm="1">
        <f t="array" ref="H549">_xlfn.XLOOKUP(Table28[[#This Row],[SKU]],Supplier_Products[[#All],[SKU]],Supplier_Products[[#All],[Supplier]])</f>
        <v>SoundWave</v>
      </c>
    </row>
    <row r="550" spans="1:8" x14ac:dyDescent="0.3">
      <c r="A550">
        <v>1549</v>
      </c>
      <c r="B550">
        <v>730</v>
      </c>
      <c r="C550" t="s">
        <v>72</v>
      </c>
      <c r="D550" s="5">
        <v>45463</v>
      </c>
      <c r="E550" t="s">
        <v>187</v>
      </c>
      <c r="F550">
        <v>10</v>
      </c>
      <c r="G550" t="str">
        <f>VLOOKUP(Table28[[#This Row],[SKU]],Supplier_Products[[#All],[Supplier]:[SKU]],3,FALSE)</f>
        <v>SoundWave</v>
      </c>
      <c r="H550" t="str" cm="1">
        <f t="array" ref="H550">_xlfn.XLOOKUP(Table28[[#This Row],[SKU]],Supplier_Products[[#All],[SKU]],Supplier_Products[[#All],[Supplier]])</f>
        <v>SoundWave</v>
      </c>
    </row>
    <row r="551" spans="1:8" x14ac:dyDescent="0.3">
      <c r="A551">
        <v>1550</v>
      </c>
      <c r="B551">
        <v>589</v>
      </c>
      <c r="C551" t="s">
        <v>140</v>
      </c>
      <c r="D551" s="5">
        <v>45589</v>
      </c>
      <c r="E551" t="s">
        <v>187</v>
      </c>
      <c r="F551">
        <v>17</v>
      </c>
      <c r="G551" t="str">
        <f>VLOOKUP(Table28[[#This Row],[SKU]],Supplier_Products[[#All],[Supplier]:[SKU]],3,FALSE)</f>
        <v>SoundWave</v>
      </c>
      <c r="H551" t="str" cm="1">
        <f t="array" ref="H551">_xlfn.XLOOKUP(Table28[[#This Row],[SKU]],Supplier_Products[[#All],[SKU]],Supplier_Products[[#All],[Supplier]])</f>
        <v>SoundWave</v>
      </c>
    </row>
    <row r="552" spans="1:8" x14ac:dyDescent="0.3">
      <c r="A552">
        <v>1551</v>
      </c>
      <c r="B552">
        <v>507</v>
      </c>
      <c r="C552" t="s">
        <v>123</v>
      </c>
      <c r="D552" s="5">
        <v>45469</v>
      </c>
      <c r="E552" t="s">
        <v>189</v>
      </c>
      <c r="F552">
        <v>15</v>
      </c>
      <c r="G552" t="str">
        <f>VLOOKUP(Table28[[#This Row],[SKU]],Supplier_Products[[#All],[Supplier]:[SKU]],3,FALSE)</f>
        <v>VRWorld</v>
      </c>
      <c r="H552" t="str" cm="1">
        <f t="array" ref="H552">_xlfn.XLOOKUP(Table28[[#This Row],[SKU]],Supplier_Products[[#All],[SKU]],Supplier_Products[[#All],[Supplier]])</f>
        <v>VRWorld</v>
      </c>
    </row>
    <row r="553" spans="1:8" x14ac:dyDescent="0.3">
      <c r="A553">
        <v>1552</v>
      </c>
      <c r="B553">
        <v>581</v>
      </c>
      <c r="C553" t="s">
        <v>8</v>
      </c>
      <c r="D553" s="5">
        <v>45304</v>
      </c>
      <c r="E553" t="s">
        <v>15</v>
      </c>
      <c r="F553">
        <v>10</v>
      </c>
      <c r="G553" t="str">
        <f>VLOOKUP(Table28[[#This Row],[SKU]],Supplier_Products[[#All],[Supplier]:[SKU]],3,FALSE)</f>
        <v>Wearable Inc.</v>
      </c>
      <c r="H553" t="str" cm="1">
        <f t="array" ref="H553">_xlfn.XLOOKUP(Table28[[#This Row],[SKU]],Supplier_Products[[#All],[SKU]],Supplier_Products[[#All],[Supplier]])</f>
        <v>Wearable Inc.</v>
      </c>
    </row>
    <row r="554" spans="1:8" x14ac:dyDescent="0.3">
      <c r="A554">
        <v>1553</v>
      </c>
      <c r="B554">
        <v>569</v>
      </c>
      <c r="C554" t="s">
        <v>123</v>
      </c>
      <c r="D554" s="5">
        <v>45584</v>
      </c>
      <c r="E554" t="s">
        <v>189</v>
      </c>
      <c r="F554">
        <v>20</v>
      </c>
      <c r="G554" t="str">
        <f>VLOOKUP(Table28[[#This Row],[SKU]],Supplier_Products[[#All],[Supplier]:[SKU]],3,FALSE)</f>
        <v>VRWorld</v>
      </c>
      <c r="H554" t="str" cm="1">
        <f t="array" ref="H554">_xlfn.XLOOKUP(Table28[[#This Row],[SKU]],Supplier_Products[[#All],[SKU]],Supplier_Products[[#All],[Supplier]])</f>
        <v>VRWorld</v>
      </c>
    </row>
    <row r="555" spans="1:8" x14ac:dyDescent="0.3">
      <c r="A555">
        <v>1554</v>
      </c>
      <c r="B555">
        <v>567</v>
      </c>
      <c r="C555" t="s">
        <v>126</v>
      </c>
      <c r="D555" s="5">
        <v>45543</v>
      </c>
      <c r="E555" t="s">
        <v>191</v>
      </c>
      <c r="F555">
        <v>13</v>
      </c>
      <c r="G555" t="str">
        <f>VLOOKUP(Table28[[#This Row],[SKU]],Supplier_Products[[#All],[Supplier]:[SKU]],3,FALSE)</f>
        <v>FitTech</v>
      </c>
      <c r="H555" t="str" cm="1">
        <f t="array" ref="H555">_xlfn.XLOOKUP(Table28[[#This Row],[SKU]],Supplier_Products[[#All],[SKU]],Supplier_Products[[#All],[Supplier]])</f>
        <v>FitTech</v>
      </c>
    </row>
    <row r="556" spans="1:8" x14ac:dyDescent="0.3">
      <c r="A556">
        <v>1555</v>
      </c>
      <c r="B556">
        <v>589</v>
      </c>
      <c r="C556" t="s">
        <v>142</v>
      </c>
      <c r="D556" s="5">
        <v>45436</v>
      </c>
      <c r="E556" t="s">
        <v>186</v>
      </c>
      <c r="F556">
        <v>1</v>
      </c>
      <c r="G556" t="str">
        <f>VLOOKUP(Table28[[#This Row],[SKU]],Supplier_Products[[#All],[Supplier]:[SKU]],3,FALSE)</f>
        <v>GPUForce</v>
      </c>
      <c r="H556" t="str" cm="1">
        <f t="array" ref="H556">_xlfn.XLOOKUP(Table28[[#This Row],[SKU]],Supplier_Products[[#All],[SKU]],Supplier_Products[[#All],[Supplier]])</f>
        <v>GPUForce</v>
      </c>
    </row>
    <row r="557" spans="1:8" x14ac:dyDescent="0.3">
      <c r="A557">
        <v>1556</v>
      </c>
      <c r="B557">
        <v>637</v>
      </c>
      <c r="C557" t="s">
        <v>158</v>
      </c>
      <c r="D557" s="5">
        <v>45469</v>
      </c>
      <c r="E557" t="s">
        <v>186</v>
      </c>
      <c r="F557">
        <v>2</v>
      </c>
      <c r="G557" t="str">
        <f>VLOOKUP(Table28[[#This Row],[SKU]],Supplier_Products[[#All],[Supplier]:[SKU]],3,FALSE)</f>
        <v>ClickTech</v>
      </c>
      <c r="H557" t="str" cm="1">
        <f t="array" ref="H557">_xlfn.XLOOKUP(Table28[[#This Row],[SKU]],Supplier_Products[[#All],[SKU]],Supplier_Products[[#All],[Supplier]])</f>
        <v>ClickTech</v>
      </c>
    </row>
    <row r="558" spans="1:8" x14ac:dyDescent="0.3">
      <c r="A558">
        <v>1557</v>
      </c>
      <c r="B558">
        <v>564</v>
      </c>
      <c r="C558" t="s">
        <v>173</v>
      </c>
      <c r="D558" s="5">
        <v>45607</v>
      </c>
      <c r="E558" t="s">
        <v>14</v>
      </c>
      <c r="F558">
        <v>17</v>
      </c>
      <c r="G558" t="str">
        <f>VLOOKUP(Table28[[#This Row],[SKU]],Supplier_Products[[#All],[Supplier]:[SKU]],3,FALSE)</f>
        <v>SafeTech</v>
      </c>
      <c r="H558" t="str" cm="1">
        <f t="array" ref="H558">_xlfn.XLOOKUP(Table28[[#This Row],[SKU]],Supplier_Products[[#All],[SKU]],Supplier_Products[[#All],[Supplier]])</f>
        <v>SafeTech</v>
      </c>
    </row>
    <row r="559" spans="1:8" x14ac:dyDescent="0.3">
      <c r="A559">
        <v>1558</v>
      </c>
      <c r="B559">
        <v>577</v>
      </c>
      <c r="C559" t="s">
        <v>8</v>
      </c>
      <c r="D559" s="5">
        <v>45305</v>
      </c>
      <c r="E559" t="s">
        <v>15</v>
      </c>
      <c r="F559">
        <v>13</v>
      </c>
      <c r="G559" t="str">
        <f>VLOOKUP(Table28[[#This Row],[SKU]],Supplier_Products[[#All],[Supplier]:[SKU]],3,FALSE)</f>
        <v>Wearable Inc.</v>
      </c>
      <c r="H559" t="str" cm="1">
        <f t="array" ref="H559">_xlfn.XLOOKUP(Table28[[#This Row],[SKU]],Supplier_Products[[#All],[SKU]],Supplier_Products[[#All],[Supplier]])</f>
        <v>Wearable Inc.</v>
      </c>
    </row>
    <row r="560" spans="1:8" x14ac:dyDescent="0.3">
      <c r="A560">
        <v>1559</v>
      </c>
      <c r="B560">
        <v>672</v>
      </c>
      <c r="C560" t="s">
        <v>154</v>
      </c>
      <c r="D560" s="5">
        <v>45407</v>
      </c>
      <c r="E560" t="s">
        <v>187</v>
      </c>
      <c r="F560">
        <v>16</v>
      </c>
      <c r="G560" t="str">
        <f>VLOOKUP(Table28[[#This Row],[SKU]],Supplier_Products[[#All],[Supplier]:[SKU]],3,FALSE)</f>
        <v>ShutterPro</v>
      </c>
      <c r="H560" t="str" cm="1">
        <f t="array" ref="H560">_xlfn.XLOOKUP(Table28[[#This Row],[SKU]],Supplier_Products[[#All],[SKU]],Supplier_Products[[#All],[Supplier]])</f>
        <v>ShutterPro</v>
      </c>
    </row>
    <row r="561" spans="1:8" x14ac:dyDescent="0.3">
      <c r="A561">
        <v>1560</v>
      </c>
      <c r="B561">
        <v>636</v>
      </c>
      <c r="C561" t="s">
        <v>123</v>
      </c>
      <c r="D561" s="5">
        <v>45571</v>
      </c>
      <c r="E561" t="s">
        <v>189</v>
      </c>
      <c r="F561">
        <v>14</v>
      </c>
      <c r="G561" t="str">
        <f>VLOOKUP(Table28[[#This Row],[SKU]],Supplier_Products[[#All],[Supplier]:[SKU]],3,FALSE)</f>
        <v>VRWorld</v>
      </c>
      <c r="H561" t="str" cm="1">
        <f t="array" ref="H561">_xlfn.XLOOKUP(Table28[[#This Row],[SKU]],Supplier_Products[[#All],[SKU]],Supplier_Products[[#All],[Supplier]])</f>
        <v>VRWorld</v>
      </c>
    </row>
    <row r="562" spans="1:8" x14ac:dyDescent="0.3">
      <c r="A562">
        <v>1561</v>
      </c>
      <c r="B562">
        <v>527</v>
      </c>
      <c r="C562" t="s">
        <v>160</v>
      </c>
      <c r="D562" s="5">
        <v>45623</v>
      </c>
      <c r="E562" t="s">
        <v>13</v>
      </c>
      <c r="F562">
        <v>5</v>
      </c>
      <c r="G562" t="str">
        <f>VLOOKUP(Table28[[#This Row],[SKU]],Supplier_Products[[#All],[Supplier]:[SKU]],3,FALSE)</f>
        <v>SoundCo</v>
      </c>
      <c r="H562" t="str" cm="1">
        <f t="array" ref="H562">_xlfn.XLOOKUP(Table28[[#This Row],[SKU]],Supplier_Products[[#All],[SKU]],Supplier_Products[[#All],[Supplier]])</f>
        <v>SoundCo</v>
      </c>
    </row>
    <row r="563" spans="1:8" x14ac:dyDescent="0.3">
      <c r="A563">
        <v>1562</v>
      </c>
      <c r="B563">
        <v>560</v>
      </c>
      <c r="C563" t="s">
        <v>150</v>
      </c>
      <c r="D563" s="5">
        <v>45442</v>
      </c>
      <c r="E563" t="s">
        <v>187</v>
      </c>
      <c r="F563">
        <v>13</v>
      </c>
      <c r="G563" t="str">
        <f>VLOOKUP(Table28[[#This Row],[SKU]],Supplier_Products[[#All],[Supplier]:[SKU]],3,FALSE)</f>
        <v>ShutterPro</v>
      </c>
      <c r="H563" t="str" cm="1">
        <f t="array" ref="H563">_xlfn.XLOOKUP(Table28[[#This Row],[SKU]],Supplier_Products[[#All],[SKU]],Supplier_Products[[#All],[Supplier]])</f>
        <v>ShutterPro</v>
      </c>
    </row>
    <row r="564" spans="1:8" x14ac:dyDescent="0.3">
      <c r="A564">
        <v>1563</v>
      </c>
      <c r="B564">
        <v>734</v>
      </c>
      <c r="C564" t="s">
        <v>121</v>
      </c>
      <c r="D564" s="5">
        <v>45531</v>
      </c>
      <c r="E564" t="s">
        <v>186</v>
      </c>
      <c r="F564">
        <v>18</v>
      </c>
      <c r="G564" t="str">
        <f>VLOOKUP(Table28[[#This Row],[SKU]],Supplier_Products[[#All],[Supplier]:[SKU]],3,FALSE)</f>
        <v>ClickTech</v>
      </c>
      <c r="H564" t="str" cm="1">
        <f t="array" ref="H564">_xlfn.XLOOKUP(Table28[[#This Row],[SKU]],Supplier_Products[[#All],[SKU]],Supplier_Products[[#All],[Supplier]])</f>
        <v>ClickTech</v>
      </c>
    </row>
    <row r="565" spans="1:8" x14ac:dyDescent="0.3">
      <c r="A565">
        <v>1564</v>
      </c>
      <c r="B565">
        <v>744</v>
      </c>
      <c r="C565" t="s">
        <v>166</v>
      </c>
      <c r="D565" s="5">
        <v>45651</v>
      </c>
      <c r="E565" t="s">
        <v>191</v>
      </c>
      <c r="F565">
        <v>16</v>
      </c>
      <c r="G565" t="str">
        <f>VLOOKUP(Table28[[#This Row],[SKU]],Supplier_Products[[#All],[Supplier]:[SKU]],3,FALSE)</f>
        <v>BookTech</v>
      </c>
      <c r="H565" t="str" cm="1">
        <f t="array" ref="H565">_xlfn.XLOOKUP(Table28[[#This Row],[SKU]],Supplier_Products[[#All],[SKU]],Supplier_Products[[#All],[Supplier]])</f>
        <v>BookTech</v>
      </c>
    </row>
    <row r="566" spans="1:8" x14ac:dyDescent="0.3">
      <c r="A566">
        <v>1565</v>
      </c>
      <c r="B566">
        <v>610</v>
      </c>
      <c r="C566" t="s">
        <v>173</v>
      </c>
      <c r="D566" s="5">
        <v>45569</v>
      </c>
      <c r="E566" t="s">
        <v>14</v>
      </c>
      <c r="F566">
        <v>19</v>
      </c>
      <c r="G566" t="str">
        <f>VLOOKUP(Table28[[#This Row],[SKU]],Supplier_Products[[#All],[Supplier]:[SKU]],3,FALSE)</f>
        <v>SafeTech</v>
      </c>
      <c r="H566" t="str" cm="1">
        <f t="array" ref="H566">_xlfn.XLOOKUP(Table28[[#This Row],[SKU]],Supplier_Products[[#All],[SKU]],Supplier_Products[[#All],[Supplier]])</f>
        <v>SafeTech</v>
      </c>
    </row>
    <row r="567" spans="1:8" x14ac:dyDescent="0.3">
      <c r="A567">
        <v>1566</v>
      </c>
      <c r="B567">
        <v>661</v>
      </c>
      <c r="C567" t="s">
        <v>11</v>
      </c>
      <c r="D567" s="5">
        <v>45602</v>
      </c>
      <c r="E567" t="s">
        <v>12</v>
      </c>
      <c r="F567">
        <v>1</v>
      </c>
      <c r="G567" t="str">
        <f>VLOOKUP(Table28[[#This Row],[SKU]],Supplier_Products[[#All],[Supplier]:[SKU]],3,FALSE)</f>
        <v>ChargePro</v>
      </c>
      <c r="H567" t="str" cm="1">
        <f t="array" ref="H567">_xlfn.XLOOKUP(Table28[[#This Row],[SKU]],Supplier_Products[[#All],[SKU]],Supplier_Products[[#All],[Supplier]])</f>
        <v>ChargePro</v>
      </c>
    </row>
    <row r="568" spans="1:8" x14ac:dyDescent="0.3">
      <c r="A568">
        <v>1567</v>
      </c>
      <c r="B568">
        <v>633</v>
      </c>
      <c r="C568" t="s">
        <v>158</v>
      </c>
      <c r="D568" s="5">
        <v>45379</v>
      </c>
      <c r="E568" t="s">
        <v>186</v>
      </c>
      <c r="F568">
        <v>11</v>
      </c>
      <c r="G568" t="str">
        <f>VLOOKUP(Table28[[#This Row],[SKU]],Supplier_Products[[#All],[Supplier]:[SKU]],3,FALSE)</f>
        <v>ClickTech</v>
      </c>
      <c r="H568" t="str" cm="1">
        <f t="array" ref="H568">_xlfn.XLOOKUP(Table28[[#This Row],[SKU]],Supplier_Products[[#All],[SKU]],Supplier_Products[[#All],[Supplier]])</f>
        <v>ClickTech</v>
      </c>
    </row>
    <row r="569" spans="1:8" x14ac:dyDescent="0.3">
      <c r="A569">
        <v>1568</v>
      </c>
      <c r="B569">
        <v>677</v>
      </c>
      <c r="C569" t="s">
        <v>137</v>
      </c>
      <c r="D569" s="5">
        <v>45574</v>
      </c>
      <c r="E569" t="s">
        <v>188</v>
      </c>
      <c r="F569">
        <v>1</v>
      </c>
      <c r="G569" t="str">
        <f>VLOOKUP(Table28[[#This Row],[SKU]],Supplier_Products[[#All],[Supplier]:[SKU]],3,FALSE)</f>
        <v>CleanBot</v>
      </c>
      <c r="H569" t="str" cm="1">
        <f t="array" ref="H569">_xlfn.XLOOKUP(Table28[[#This Row],[SKU]],Supplier_Products[[#All],[SKU]],Supplier_Products[[#All],[Supplier]])</f>
        <v>CleanBot</v>
      </c>
    </row>
    <row r="570" spans="1:8" x14ac:dyDescent="0.3">
      <c r="A570">
        <v>1569</v>
      </c>
      <c r="B570">
        <v>550</v>
      </c>
      <c r="C570" t="s">
        <v>7</v>
      </c>
      <c r="D570" s="5">
        <v>45473</v>
      </c>
      <c r="E570" t="s">
        <v>13</v>
      </c>
      <c r="F570">
        <v>9</v>
      </c>
      <c r="G570" t="str">
        <f>VLOOKUP(Table28[[#This Row],[SKU]],Supplier_Products[[#All],[Supplier]:[SKU]],3,FALSE)</f>
        <v>SoundCo</v>
      </c>
      <c r="H570" t="str" cm="1">
        <f t="array" ref="H570">_xlfn.XLOOKUP(Table28[[#This Row],[SKU]],Supplier_Products[[#All],[SKU]],Supplier_Products[[#All],[Supplier]])</f>
        <v>SoundCo</v>
      </c>
    </row>
    <row r="571" spans="1:8" x14ac:dyDescent="0.3">
      <c r="A571">
        <v>1570</v>
      </c>
      <c r="B571">
        <v>689</v>
      </c>
      <c r="C571" t="s">
        <v>126</v>
      </c>
      <c r="D571" s="5">
        <v>45334</v>
      </c>
      <c r="E571" t="s">
        <v>191</v>
      </c>
      <c r="F571">
        <v>5</v>
      </c>
      <c r="G571" t="str">
        <f>VLOOKUP(Table28[[#This Row],[SKU]],Supplier_Products[[#All],[Supplier]:[SKU]],3,FALSE)</f>
        <v>FitTech</v>
      </c>
      <c r="H571" t="str" cm="1">
        <f t="array" ref="H571">_xlfn.XLOOKUP(Table28[[#This Row],[SKU]],Supplier_Products[[#All],[SKU]],Supplier_Products[[#All],[Supplier]])</f>
        <v>FitTech</v>
      </c>
    </row>
    <row r="572" spans="1:8" x14ac:dyDescent="0.3">
      <c r="A572">
        <v>1571</v>
      </c>
      <c r="B572">
        <v>682</v>
      </c>
      <c r="C572" t="s">
        <v>114</v>
      </c>
      <c r="D572" s="5">
        <v>45445</v>
      </c>
      <c r="E572" t="s">
        <v>189</v>
      </c>
      <c r="F572">
        <v>14</v>
      </c>
      <c r="G572" t="str">
        <f>VLOOKUP(Table28[[#This Row],[SKU]],Supplier_Products[[#All],[Supplier]:[SKU]],3,FALSE)</f>
        <v>VisionTech</v>
      </c>
      <c r="H572" t="str" cm="1">
        <f t="array" ref="H572">_xlfn.XLOOKUP(Table28[[#This Row],[SKU]],Supplier_Products[[#All],[SKU]],Supplier_Products[[#All],[Supplier]])</f>
        <v>VisionTech</v>
      </c>
    </row>
    <row r="573" spans="1:8" x14ac:dyDescent="0.3">
      <c r="A573">
        <v>1572</v>
      </c>
      <c r="B573">
        <v>657</v>
      </c>
      <c r="C573" t="s">
        <v>178</v>
      </c>
      <c r="D573" s="5">
        <v>45625</v>
      </c>
      <c r="E573" t="s">
        <v>13</v>
      </c>
      <c r="F573">
        <v>18</v>
      </c>
      <c r="G573" t="str">
        <f>VLOOKUP(Table28[[#This Row],[SKU]],Supplier_Products[[#All],[Supplier]:[SKU]],3,FALSE)</f>
        <v>DockIt</v>
      </c>
      <c r="H573" t="str" cm="1">
        <f t="array" ref="H573">_xlfn.XLOOKUP(Table28[[#This Row],[SKU]],Supplier_Products[[#All],[SKU]],Supplier_Products[[#All],[Supplier]])</f>
        <v>DockIt</v>
      </c>
    </row>
    <row r="574" spans="1:8" x14ac:dyDescent="0.3">
      <c r="A574">
        <v>1573</v>
      </c>
      <c r="B574">
        <v>711</v>
      </c>
      <c r="C574" t="s">
        <v>114</v>
      </c>
      <c r="D574" s="5">
        <v>45334</v>
      </c>
      <c r="E574" t="s">
        <v>189</v>
      </c>
      <c r="F574">
        <v>16</v>
      </c>
      <c r="G574" t="str">
        <f>VLOOKUP(Table28[[#This Row],[SKU]],Supplier_Products[[#All],[Supplier]:[SKU]],3,FALSE)</f>
        <v>VisionTech</v>
      </c>
      <c r="H574" t="str" cm="1">
        <f t="array" ref="H574">_xlfn.XLOOKUP(Table28[[#This Row],[SKU]],Supplier_Products[[#All],[SKU]],Supplier_Products[[#All],[Supplier]])</f>
        <v>VisionTech</v>
      </c>
    </row>
    <row r="575" spans="1:8" x14ac:dyDescent="0.3">
      <c r="A575">
        <v>1574</v>
      </c>
      <c r="B575">
        <v>555</v>
      </c>
      <c r="C575" t="s">
        <v>6</v>
      </c>
      <c r="D575" s="5">
        <v>45486</v>
      </c>
      <c r="E575" t="s">
        <v>12</v>
      </c>
      <c r="F575">
        <v>3</v>
      </c>
      <c r="G575" t="str">
        <f>VLOOKUP(Table28[[#This Row],[SKU]],Supplier_Products[[#All],[Supplier]:[SKU]],3,FALSE)</f>
        <v>TechCorp</v>
      </c>
      <c r="H575" t="str" cm="1">
        <f t="array" ref="H575">_xlfn.XLOOKUP(Table28[[#This Row],[SKU]],Supplier_Products[[#All],[SKU]],Supplier_Products[[#All],[Supplier]])</f>
        <v>TechCorp</v>
      </c>
    </row>
    <row r="576" spans="1:8" x14ac:dyDescent="0.3">
      <c r="A576">
        <v>1575</v>
      </c>
      <c r="B576">
        <v>663</v>
      </c>
      <c r="C576" t="s">
        <v>114</v>
      </c>
      <c r="D576" s="5">
        <v>45422</v>
      </c>
      <c r="E576" t="s">
        <v>189</v>
      </c>
      <c r="F576">
        <v>9</v>
      </c>
      <c r="G576" t="str">
        <f>VLOOKUP(Table28[[#This Row],[SKU]],Supplier_Products[[#All],[Supplier]:[SKU]],3,FALSE)</f>
        <v>VisionTech</v>
      </c>
      <c r="H576" t="str" cm="1">
        <f t="array" ref="H576">_xlfn.XLOOKUP(Table28[[#This Row],[SKU]],Supplier_Products[[#All],[SKU]],Supplier_Products[[#All],[Supplier]])</f>
        <v>VisionTech</v>
      </c>
    </row>
    <row r="577" spans="1:8" x14ac:dyDescent="0.3">
      <c r="A577">
        <v>1576</v>
      </c>
      <c r="B577">
        <v>527</v>
      </c>
      <c r="C577" t="s">
        <v>123</v>
      </c>
      <c r="D577" s="5">
        <v>45506</v>
      </c>
      <c r="E577" t="s">
        <v>189</v>
      </c>
      <c r="F577">
        <v>11</v>
      </c>
      <c r="G577" t="str">
        <f>VLOOKUP(Table28[[#This Row],[SKU]],Supplier_Products[[#All],[Supplier]:[SKU]],3,FALSE)</f>
        <v>VRWorld</v>
      </c>
      <c r="H577" t="str" cm="1">
        <f t="array" ref="H577">_xlfn.XLOOKUP(Table28[[#This Row],[SKU]],Supplier_Products[[#All],[SKU]],Supplier_Products[[#All],[Supplier]])</f>
        <v>VRWorld</v>
      </c>
    </row>
    <row r="578" spans="1:8" x14ac:dyDescent="0.3">
      <c r="A578">
        <v>1577</v>
      </c>
      <c r="B578">
        <v>694</v>
      </c>
      <c r="C578" t="s">
        <v>117</v>
      </c>
      <c r="D578" s="5">
        <v>45491</v>
      </c>
      <c r="E578" t="s">
        <v>190</v>
      </c>
      <c r="F578">
        <v>15</v>
      </c>
      <c r="G578" t="str">
        <f>VLOOKUP(Table28[[#This Row],[SKU]],Supplier_Products[[#All],[Supplier]:[SKU]],3,FALSE)</f>
        <v>DataSafe</v>
      </c>
      <c r="H578" t="str" cm="1">
        <f t="array" ref="H578">_xlfn.XLOOKUP(Table28[[#This Row],[SKU]],Supplier_Products[[#All],[SKU]],Supplier_Products[[#All],[Supplier]])</f>
        <v>DataSafe</v>
      </c>
    </row>
    <row r="579" spans="1:8" x14ac:dyDescent="0.3">
      <c r="A579">
        <v>1578</v>
      </c>
      <c r="B579">
        <v>671</v>
      </c>
      <c r="C579" t="s">
        <v>160</v>
      </c>
      <c r="D579" s="5">
        <v>45630</v>
      </c>
      <c r="E579" t="s">
        <v>13</v>
      </c>
      <c r="F579">
        <v>8</v>
      </c>
      <c r="G579" t="str">
        <f>VLOOKUP(Table28[[#This Row],[SKU]],Supplier_Products[[#All],[Supplier]:[SKU]],3,FALSE)</f>
        <v>SoundCo</v>
      </c>
      <c r="H579" t="str" cm="1">
        <f t="array" ref="H579">_xlfn.XLOOKUP(Table28[[#This Row],[SKU]],Supplier_Products[[#All],[SKU]],Supplier_Products[[#All],[Supplier]])</f>
        <v>SoundCo</v>
      </c>
    </row>
    <row r="580" spans="1:8" x14ac:dyDescent="0.3">
      <c r="A580">
        <v>1579</v>
      </c>
      <c r="B580">
        <v>683</v>
      </c>
      <c r="C580" t="s">
        <v>8</v>
      </c>
      <c r="D580" s="5">
        <v>45412</v>
      </c>
      <c r="E580" t="s">
        <v>15</v>
      </c>
      <c r="F580">
        <v>20</v>
      </c>
      <c r="G580" t="str">
        <f>VLOOKUP(Table28[[#This Row],[SKU]],Supplier_Products[[#All],[Supplier]:[SKU]],3,FALSE)</f>
        <v>Wearable Inc.</v>
      </c>
      <c r="H580" t="str" cm="1">
        <f t="array" ref="H580">_xlfn.XLOOKUP(Table28[[#This Row],[SKU]],Supplier_Products[[#All],[SKU]],Supplier_Products[[#All],[Supplier]])</f>
        <v>Wearable Inc.</v>
      </c>
    </row>
    <row r="581" spans="1:8" x14ac:dyDescent="0.3">
      <c r="A581">
        <v>1580</v>
      </c>
      <c r="B581">
        <v>728</v>
      </c>
      <c r="C581" t="s">
        <v>11</v>
      </c>
      <c r="D581" s="5">
        <v>45468</v>
      </c>
      <c r="E581" t="s">
        <v>12</v>
      </c>
      <c r="F581">
        <v>7</v>
      </c>
      <c r="G581" t="str">
        <f>VLOOKUP(Table28[[#This Row],[SKU]],Supplier_Products[[#All],[Supplier]:[SKU]],3,FALSE)</f>
        <v>ChargePro</v>
      </c>
      <c r="H581" t="str" cm="1">
        <f t="array" ref="H581">_xlfn.XLOOKUP(Table28[[#This Row],[SKU]],Supplier_Products[[#All],[SKU]],Supplier_Products[[#All],[Supplier]])</f>
        <v>ChargePro</v>
      </c>
    </row>
    <row r="582" spans="1:8" x14ac:dyDescent="0.3">
      <c r="A582">
        <v>1581</v>
      </c>
      <c r="B582">
        <v>504</v>
      </c>
      <c r="C582" t="s">
        <v>145</v>
      </c>
      <c r="D582" s="5">
        <v>45384</v>
      </c>
      <c r="E582" t="s">
        <v>190</v>
      </c>
      <c r="F582">
        <v>18</v>
      </c>
      <c r="G582" t="str">
        <f>VLOOKUP(Table28[[#This Row],[SKU]],Supplier_Products[[#All],[Supplier]:[SKU]],3,FALSE)</f>
        <v>BrightHome</v>
      </c>
      <c r="H582" t="str" cm="1">
        <f t="array" ref="H582">_xlfn.XLOOKUP(Table28[[#This Row],[SKU]],Supplier_Products[[#All],[SKU]],Supplier_Products[[#All],[Supplier]])</f>
        <v>BrightHome</v>
      </c>
    </row>
    <row r="583" spans="1:8" x14ac:dyDescent="0.3">
      <c r="A583">
        <v>1582</v>
      </c>
      <c r="B583">
        <v>537</v>
      </c>
      <c r="C583" t="s">
        <v>169</v>
      </c>
      <c r="D583" s="5">
        <v>45558</v>
      </c>
      <c r="E583" t="s">
        <v>14</v>
      </c>
      <c r="F583">
        <v>7</v>
      </c>
      <c r="G583" t="str">
        <f>VLOOKUP(Table28[[#This Row],[SKU]],Supplier_Products[[#All],[Supplier]:[SKU]],3,FALSE)</f>
        <v>SafeDrive</v>
      </c>
      <c r="H583" t="str" cm="1">
        <f t="array" ref="H583">_xlfn.XLOOKUP(Table28[[#This Row],[SKU]],Supplier_Products[[#All],[SKU]],Supplier_Products[[#All],[Supplier]])</f>
        <v>SafeDrive</v>
      </c>
    </row>
    <row r="584" spans="1:8" x14ac:dyDescent="0.3">
      <c r="A584">
        <v>1583</v>
      </c>
      <c r="B584">
        <v>656</v>
      </c>
      <c r="C584" t="s">
        <v>10</v>
      </c>
      <c r="D584" s="5">
        <v>45644</v>
      </c>
      <c r="E584" t="s">
        <v>13</v>
      </c>
      <c r="F584">
        <v>15</v>
      </c>
      <c r="G584" t="str">
        <f>VLOOKUP(Table28[[#This Row],[SKU]],Supplier_Products[[#All],[Supplier]:[SKU]],3,FALSE)</f>
        <v>TabletMakers</v>
      </c>
      <c r="H584" t="str" cm="1">
        <f t="array" ref="H584">_xlfn.XLOOKUP(Table28[[#This Row],[SKU]],Supplier_Products[[#All],[SKU]],Supplier_Products[[#All],[Supplier]])</f>
        <v>TabletMakers</v>
      </c>
    </row>
    <row r="585" spans="1:8" x14ac:dyDescent="0.3">
      <c r="A585">
        <v>1584</v>
      </c>
      <c r="B585">
        <v>640</v>
      </c>
      <c r="C585" t="s">
        <v>160</v>
      </c>
      <c r="D585" s="5">
        <v>45363</v>
      </c>
      <c r="E585" t="s">
        <v>13</v>
      </c>
      <c r="F585">
        <v>4</v>
      </c>
      <c r="G585" t="str">
        <f>VLOOKUP(Table28[[#This Row],[SKU]],Supplier_Products[[#All],[Supplier]:[SKU]],3,FALSE)</f>
        <v>SoundCo</v>
      </c>
      <c r="H585" t="str" cm="1">
        <f t="array" ref="H585">_xlfn.XLOOKUP(Table28[[#This Row],[SKU]],Supplier_Products[[#All],[SKU]],Supplier_Products[[#All],[Supplier]])</f>
        <v>SoundCo</v>
      </c>
    </row>
    <row r="586" spans="1:8" x14ac:dyDescent="0.3">
      <c r="A586">
        <v>1585</v>
      </c>
      <c r="B586">
        <v>514</v>
      </c>
      <c r="C586" t="s">
        <v>173</v>
      </c>
      <c r="D586" s="5">
        <v>45557</v>
      </c>
      <c r="E586" t="s">
        <v>14</v>
      </c>
      <c r="F586">
        <v>13</v>
      </c>
      <c r="G586" t="str">
        <f>VLOOKUP(Table28[[#This Row],[SKU]],Supplier_Products[[#All],[Supplier]:[SKU]],3,FALSE)</f>
        <v>SafeTech</v>
      </c>
      <c r="H586" t="str" cm="1">
        <f t="array" ref="H586">_xlfn.XLOOKUP(Table28[[#This Row],[SKU]],Supplier_Products[[#All],[SKU]],Supplier_Products[[#All],[Supplier]])</f>
        <v>SafeTech</v>
      </c>
    </row>
    <row r="587" spans="1:8" x14ac:dyDescent="0.3">
      <c r="A587">
        <v>1586</v>
      </c>
      <c r="B587">
        <v>503</v>
      </c>
      <c r="C587" t="s">
        <v>166</v>
      </c>
      <c r="D587" s="5">
        <v>45494</v>
      </c>
      <c r="E587" t="s">
        <v>191</v>
      </c>
      <c r="F587">
        <v>16</v>
      </c>
      <c r="G587" t="str">
        <f>VLOOKUP(Table28[[#This Row],[SKU]],Supplier_Products[[#All],[Supplier]:[SKU]],3,FALSE)</f>
        <v>BookTech</v>
      </c>
      <c r="H587" t="str" cm="1">
        <f t="array" ref="H587">_xlfn.XLOOKUP(Table28[[#This Row],[SKU]],Supplier_Products[[#All],[SKU]],Supplier_Products[[#All],[Supplier]])</f>
        <v>BookTech</v>
      </c>
    </row>
    <row r="588" spans="1:8" x14ac:dyDescent="0.3">
      <c r="A588">
        <v>1587</v>
      </c>
      <c r="B588">
        <v>669</v>
      </c>
      <c r="C588" t="s">
        <v>123</v>
      </c>
      <c r="D588" s="5">
        <v>45647</v>
      </c>
      <c r="E588" t="s">
        <v>189</v>
      </c>
      <c r="F588">
        <v>9</v>
      </c>
      <c r="G588" t="str">
        <f>VLOOKUP(Table28[[#This Row],[SKU]],Supplier_Products[[#All],[Supplier]:[SKU]],3,FALSE)</f>
        <v>VRWorld</v>
      </c>
      <c r="H588" t="str" cm="1">
        <f t="array" ref="H588">_xlfn.XLOOKUP(Table28[[#This Row],[SKU]],Supplier_Products[[#All],[SKU]],Supplier_Products[[#All],[Supplier]])</f>
        <v>VRWorld</v>
      </c>
    </row>
    <row r="589" spans="1:8" x14ac:dyDescent="0.3">
      <c r="A589">
        <v>1588</v>
      </c>
      <c r="B589">
        <v>552</v>
      </c>
      <c r="C589" t="s">
        <v>169</v>
      </c>
      <c r="D589" s="5">
        <v>45432</v>
      </c>
      <c r="E589" t="s">
        <v>14</v>
      </c>
      <c r="F589">
        <v>20</v>
      </c>
      <c r="G589" t="str">
        <f>VLOOKUP(Table28[[#This Row],[SKU]],Supplier_Products[[#All],[Supplier]:[SKU]],3,FALSE)</f>
        <v>SafeDrive</v>
      </c>
      <c r="H589" t="str" cm="1">
        <f t="array" ref="H589">_xlfn.XLOOKUP(Table28[[#This Row],[SKU]],Supplier_Products[[#All],[SKU]],Supplier_Products[[#All],[Supplier]])</f>
        <v>SafeDrive</v>
      </c>
    </row>
    <row r="590" spans="1:8" x14ac:dyDescent="0.3">
      <c r="A590">
        <v>1589</v>
      </c>
      <c r="B590">
        <v>702</v>
      </c>
      <c r="C590" t="s">
        <v>160</v>
      </c>
      <c r="D590" s="5">
        <v>45381</v>
      </c>
      <c r="E590" t="s">
        <v>13</v>
      </c>
      <c r="F590">
        <v>15</v>
      </c>
      <c r="G590" t="str">
        <f>VLOOKUP(Table28[[#This Row],[SKU]],Supplier_Products[[#All],[Supplier]:[SKU]],3,FALSE)</f>
        <v>SoundCo</v>
      </c>
      <c r="H590" t="str" cm="1">
        <f t="array" ref="H590">_xlfn.XLOOKUP(Table28[[#This Row],[SKU]],Supplier_Products[[#All],[SKU]],Supplier_Products[[#All],[Supplier]])</f>
        <v>SoundCo</v>
      </c>
    </row>
    <row r="591" spans="1:8" x14ac:dyDescent="0.3">
      <c r="A591">
        <v>1590</v>
      </c>
      <c r="B591">
        <v>679</v>
      </c>
      <c r="C591" t="s">
        <v>137</v>
      </c>
      <c r="D591" s="5">
        <v>45396</v>
      </c>
      <c r="E591" t="s">
        <v>188</v>
      </c>
      <c r="F591">
        <v>7</v>
      </c>
      <c r="G591" t="str">
        <f>VLOOKUP(Table28[[#This Row],[SKU]],Supplier_Products[[#All],[Supplier]:[SKU]],3,FALSE)</f>
        <v>CleanBot</v>
      </c>
      <c r="H591" t="str" cm="1">
        <f t="array" ref="H591">_xlfn.XLOOKUP(Table28[[#This Row],[SKU]],Supplier_Products[[#All],[SKU]],Supplier_Products[[#All],[Supplier]])</f>
        <v>CleanBot</v>
      </c>
    </row>
    <row r="592" spans="1:8" x14ac:dyDescent="0.3">
      <c r="A592">
        <v>1591</v>
      </c>
      <c r="B592">
        <v>601</v>
      </c>
      <c r="C592" t="s">
        <v>110</v>
      </c>
      <c r="D592" s="5">
        <v>45320</v>
      </c>
      <c r="E592" t="s">
        <v>188</v>
      </c>
      <c r="F592">
        <v>2</v>
      </c>
      <c r="G592" t="str">
        <f>VLOOKUP(Table28[[#This Row],[SKU]],Supplier_Products[[#All],[Supplier]:[SKU]],3,FALSE)</f>
        <v>PlayMax</v>
      </c>
      <c r="H592" t="str" cm="1">
        <f t="array" ref="H592">_xlfn.XLOOKUP(Table28[[#This Row],[SKU]],Supplier_Products[[#All],[SKU]],Supplier_Products[[#All],[Supplier]])</f>
        <v>PlayMax</v>
      </c>
    </row>
    <row r="593" spans="1:8" x14ac:dyDescent="0.3">
      <c r="A593">
        <v>1592</v>
      </c>
      <c r="B593">
        <v>592</v>
      </c>
      <c r="C593" t="s">
        <v>156</v>
      </c>
      <c r="D593" s="5">
        <v>45345</v>
      </c>
      <c r="E593" t="s">
        <v>186</v>
      </c>
      <c r="F593">
        <v>19</v>
      </c>
      <c r="G593" t="str">
        <f>VLOOKUP(Table28[[#This Row],[SKU]],Supplier_Products[[#All],[Supplier]:[SKU]],3,FALSE)</f>
        <v>ClickTech</v>
      </c>
      <c r="H593" t="str" cm="1">
        <f t="array" ref="H593">_xlfn.XLOOKUP(Table28[[#This Row],[SKU]],Supplier_Products[[#All],[SKU]],Supplier_Products[[#All],[Supplier]])</f>
        <v>ClickTech</v>
      </c>
    </row>
    <row r="594" spans="1:8" x14ac:dyDescent="0.3">
      <c r="A594">
        <v>1593</v>
      </c>
      <c r="B594">
        <v>548</v>
      </c>
      <c r="C594" t="s">
        <v>9</v>
      </c>
      <c r="D594" s="5">
        <v>45467</v>
      </c>
      <c r="E594" t="s">
        <v>14</v>
      </c>
      <c r="F594">
        <v>1</v>
      </c>
      <c r="G594" t="str">
        <f>VLOOKUP(Table28[[#This Row],[SKU]],Supplier_Products[[#All],[Supplier]:[SKU]],3,FALSE)</f>
        <v>CompuTech</v>
      </c>
      <c r="H594" t="str" cm="1">
        <f t="array" ref="H594">_xlfn.XLOOKUP(Table28[[#This Row],[SKU]],Supplier_Products[[#All],[SKU]],Supplier_Products[[#All],[Supplier]])</f>
        <v>CompuTech</v>
      </c>
    </row>
    <row r="595" spans="1:8" x14ac:dyDescent="0.3">
      <c r="A595">
        <v>1594</v>
      </c>
      <c r="B595">
        <v>743</v>
      </c>
      <c r="C595" t="s">
        <v>121</v>
      </c>
      <c r="D595" s="5">
        <v>45589</v>
      </c>
      <c r="E595" t="s">
        <v>186</v>
      </c>
      <c r="F595">
        <v>6</v>
      </c>
      <c r="G595" t="str">
        <f>VLOOKUP(Table28[[#This Row],[SKU]],Supplier_Products[[#All],[Supplier]:[SKU]],3,FALSE)</f>
        <v>ClickTech</v>
      </c>
      <c r="H595" t="str" cm="1">
        <f t="array" ref="H595">_xlfn.XLOOKUP(Table28[[#This Row],[SKU]],Supplier_Products[[#All],[SKU]],Supplier_Products[[#All],[Supplier]])</f>
        <v>ClickTech</v>
      </c>
    </row>
    <row r="596" spans="1:8" x14ac:dyDescent="0.3">
      <c r="A596">
        <v>1595</v>
      </c>
      <c r="B596">
        <v>603</v>
      </c>
      <c r="C596" t="s">
        <v>140</v>
      </c>
      <c r="D596" s="5">
        <v>45656</v>
      </c>
      <c r="E596" t="s">
        <v>187</v>
      </c>
      <c r="F596">
        <v>19</v>
      </c>
      <c r="G596" t="str">
        <f>VLOOKUP(Table28[[#This Row],[SKU]],Supplier_Products[[#All],[Supplier]:[SKU]],3,FALSE)</f>
        <v>SoundWave</v>
      </c>
      <c r="H596" t="str" cm="1">
        <f t="array" ref="H596">_xlfn.XLOOKUP(Table28[[#This Row],[SKU]],Supplier_Products[[#All],[SKU]],Supplier_Products[[#All],[Supplier]])</f>
        <v>SoundWave</v>
      </c>
    </row>
    <row r="597" spans="1:8" x14ac:dyDescent="0.3">
      <c r="A597">
        <v>1596</v>
      </c>
      <c r="B597">
        <v>665</v>
      </c>
      <c r="C597" t="s">
        <v>10</v>
      </c>
      <c r="D597" s="5">
        <v>45371</v>
      </c>
      <c r="E597" t="s">
        <v>13</v>
      </c>
      <c r="F597">
        <v>7</v>
      </c>
      <c r="G597" t="str">
        <f>VLOOKUP(Table28[[#This Row],[SKU]],Supplier_Products[[#All],[Supplier]:[SKU]],3,FALSE)</f>
        <v>TabletMakers</v>
      </c>
      <c r="H597" t="str" cm="1">
        <f t="array" ref="H597">_xlfn.XLOOKUP(Table28[[#This Row],[SKU]],Supplier_Products[[#All],[SKU]],Supplier_Products[[#All],[Supplier]])</f>
        <v>TabletMakers</v>
      </c>
    </row>
    <row r="598" spans="1:8" x14ac:dyDescent="0.3">
      <c r="A598">
        <v>1597</v>
      </c>
      <c r="B598">
        <v>654</v>
      </c>
      <c r="C598" t="s">
        <v>114</v>
      </c>
      <c r="D598" s="5">
        <v>45399</v>
      </c>
      <c r="E598" t="s">
        <v>189</v>
      </c>
      <c r="F598">
        <v>20</v>
      </c>
      <c r="G598" t="str">
        <f>VLOOKUP(Table28[[#This Row],[SKU]],Supplier_Products[[#All],[Supplier]:[SKU]],3,FALSE)</f>
        <v>VisionTech</v>
      </c>
      <c r="H598" t="str" cm="1">
        <f t="array" ref="H598">_xlfn.XLOOKUP(Table28[[#This Row],[SKU]],Supplier_Products[[#All],[SKU]],Supplier_Products[[#All],[Supplier]])</f>
        <v>VisionTech</v>
      </c>
    </row>
    <row r="599" spans="1:8" x14ac:dyDescent="0.3">
      <c r="A599">
        <v>1598</v>
      </c>
      <c r="B599">
        <v>623</v>
      </c>
      <c r="C599" t="s">
        <v>117</v>
      </c>
      <c r="D599" s="5">
        <v>45644</v>
      </c>
      <c r="E599" t="s">
        <v>190</v>
      </c>
      <c r="F599">
        <v>18</v>
      </c>
      <c r="G599" t="str">
        <f>VLOOKUP(Table28[[#This Row],[SKU]],Supplier_Products[[#All],[Supplier]:[SKU]],3,FALSE)</f>
        <v>DataSafe</v>
      </c>
      <c r="H599" t="str" cm="1">
        <f t="array" ref="H599">_xlfn.XLOOKUP(Table28[[#This Row],[SKU]],Supplier_Products[[#All],[SKU]],Supplier_Products[[#All],[Supplier]])</f>
        <v>DataSafe</v>
      </c>
    </row>
    <row r="600" spans="1:8" x14ac:dyDescent="0.3">
      <c r="A600">
        <v>1599</v>
      </c>
      <c r="B600">
        <v>517</v>
      </c>
      <c r="C600" t="s">
        <v>117</v>
      </c>
      <c r="D600" s="5">
        <v>45358</v>
      </c>
      <c r="E600" t="s">
        <v>190</v>
      </c>
      <c r="F600">
        <v>9</v>
      </c>
      <c r="G600" t="str">
        <f>VLOOKUP(Table28[[#This Row],[SKU]],Supplier_Products[[#All],[Supplier]:[SKU]],3,FALSE)</f>
        <v>DataSafe</v>
      </c>
      <c r="H600" t="str" cm="1">
        <f t="array" ref="H600">_xlfn.XLOOKUP(Table28[[#This Row],[SKU]],Supplier_Products[[#All],[SKU]],Supplier_Products[[#All],[Supplier]])</f>
        <v>DataSafe</v>
      </c>
    </row>
    <row r="601" spans="1:8" x14ac:dyDescent="0.3">
      <c r="A601">
        <v>1600</v>
      </c>
      <c r="B601">
        <v>742</v>
      </c>
      <c r="C601" t="s">
        <v>129</v>
      </c>
      <c r="D601" s="5">
        <v>45585</v>
      </c>
      <c r="E601" t="s">
        <v>12</v>
      </c>
      <c r="F601">
        <v>10</v>
      </c>
      <c r="G601" t="str">
        <f>VLOOKUP(Table28[[#This Row],[SKU]],Supplier_Products[[#All],[Supplier]:[SKU]],3,FALSE)</f>
        <v>StreamIt</v>
      </c>
      <c r="H601" t="str" cm="1">
        <f t="array" ref="H601">_xlfn.XLOOKUP(Table28[[#This Row],[SKU]],Supplier_Products[[#All],[SKU]],Supplier_Products[[#All],[Supplier]])</f>
        <v>StreamIt</v>
      </c>
    </row>
    <row r="602" spans="1:8" x14ac:dyDescent="0.3">
      <c r="A602">
        <v>1601</v>
      </c>
      <c r="B602">
        <v>706</v>
      </c>
      <c r="C602" t="s">
        <v>114</v>
      </c>
      <c r="D602" s="5">
        <v>45477</v>
      </c>
      <c r="E602" t="s">
        <v>189</v>
      </c>
      <c r="F602">
        <v>20</v>
      </c>
      <c r="G602" t="str">
        <f>VLOOKUP(Table28[[#This Row],[SKU]],Supplier_Products[[#All],[Supplier]:[SKU]],3,FALSE)</f>
        <v>VisionTech</v>
      </c>
      <c r="H602" t="str" cm="1">
        <f t="array" ref="H602">_xlfn.XLOOKUP(Table28[[#This Row],[SKU]],Supplier_Products[[#All],[SKU]],Supplier_Products[[#All],[Supplier]])</f>
        <v>VisionTech</v>
      </c>
    </row>
    <row r="603" spans="1:8" x14ac:dyDescent="0.3">
      <c r="A603">
        <v>1602</v>
      </c>
      <c r="B603">
        <v>699</v>
      </c>
      <c r="C603" t="s">
        <v>181</v>
      </c>
      <c r="D603" s="5">
        <v>45539</v>
      </c>
      <c r="E603" t="s">
        <v>12</v>
      </c>
      <c r="F603">
        <v>4</v>
      </c>
      <c r="G603" t="str">
        <f>VLOOKUP(Table28[[#This Row],[SKU]],Supplier_Products[[#All],[Supplier]:[SKU]],3,FALSE)</f>
        <v>PhotoFrame Inc.</v>
      </c>
      <c r="H603" t="str" cm="1">
        <f t="array" ref="H603">_xlfn.XLOOKUP(Table28[[#This Row],[SKU]],Supplier_Products[[#All],[SKU]],Supplier_Products[[#All],[Supplier]])</f>
        <v>PhotoFrame Inc.</v>
      </c>
    </row>
    <row r="604" spans="1:8" x14ac:dyDescent="0.3">
      <c r="A604">
        <v>1603</v>
      </c>
      <c r="B604">
        <v>545</v>
      </c>
      <c r="C604" t="s">
        <v>160</v>
      </c>
      <c r="D604" s="5">
        <v>45598</v>
      </c>
      <c r="E604" t="s">
        <v>13</v>
      </c>
      <c r="F604">
        <v>10</v>
      </c>
      <c r="G604" t="str">
        <f>VLOOKUP(Table28[[#This Row],[SKU]],Supplier_Products[[#All],[Supplier]:[SKU]],3,FALSE)</f>
        <v>SoundCo</v>
      </c>
      <c r="H604" t="str" cm="1">
        <f t="array" ref="H604">_xlfn.XLOOKUP(Table28[[#This Row],[SKU]],Supplier_Products[[#All],[SKU]],Supplier_Products[[#All],[Supplier]])</f>
        <v>SoundCo</v>
      </c>
    </row>
    <row r="605" spans="1:8" x14ac:dyDescent="0.3">
      <c r="A605">
        <v>1604</v>
      </c>
      <c r="B605">
        <v>639</v>
      </c>
      <c r="C605" t="s">
        <v>114</v>
      </c>
      <c r="D605" s="5">
        <v>45527</v>
      </c>
      <c r="E605" t="s">
        <v>189</v>
      </c>
      <c r="F605">
        <v>3</v>
      </c>
      <c r="G605" t="str">
        <f>VLOOKUP(Table28[[#This Row],[SKU]],Supplier_Products[[#All],[Supplier]:[SKU]],3,FALSE)</f>
        <v>VisionTech</v>
      </c>
      <c r="H605" t="str" cm="1">
        <f t="array" ref="H605">_xlfn.XLOOKUP(Table28[[#This Row],[SKU]],Supplier_Products[[#All],[SKU]],Supplier_Products[[#All],[Supplier]])</f>
        <v>VisionTech</v>
      </c>
    </row>
    <row r="606" spans="1:8" x14ac:dyDescent="0.3">
      <c r="A606">
        <v>1605</v>
      </c>
      <c r="B606">
        <v>535</v>
      </c>
      <c r="C606" t="s">
        <v>8</v>
      </c>
      <c r="D606" s="5">
        <v>45490</v>
      </c>
      <c r="E606" t="s">
        <v>15</v>
      </c>
      <c r="F606">
        <v>11</v>
      </c>
      <c r="G606" t="str">
        <f>VLOOKUP(Table28[[#This Row],[SKU]],Supplier_Products[[#All],[Supplier]:[SKU]],3,FALSE)</f>
        <v>Wearable Inc.</v>
      </c>
      <c r="H606" t="str" cm="1">
        <f t="array" ref="H606">_xlfn.XLOOKUP(Table28[[#This Row],[SKU]],Supplier_Products[[#All],[SKU]],Supplier_Products[[#All],[Supplier]])</f>
        <v>Wearable Inc.</v>
      </c>
    </row>
    <row r="607" spans="1:8" x14ac:dyDescent="0.3">
      <c r="A607">
        <v>1606</v>
      </c>
      <c r="B607">
        <v>677</v>
      </c>
      <c r="C607" t="s">
        <v>169</v>
      </c>
      <c r="D607" s="5">
        <v>45295</v>
      </c>
      <c r="E607" t="s">
        <v>14</v>
      </c>
      <c r="F607">
        <v>20</v>
      </c>
      <c r="G607" t="str">
        <f>VLOOKUP(Table28[[#This Row],[SKU]],Supplier_Products[[#All],[Supplier]:[SKU]],3,FALSE)</f>
        <v>SafeDrive</v>
      </c>
      <c r="H607" t="str" cm="1">
        <f t="array" ref="H607">_xlfn.XLOOKUP(Table28[[#This Row],[SKU]],Supplier_Products[[#All],[SKU]],Supplier_Products[[#All],[Supplier]])</f>
        <v>SafeDrive</v>
      </c>
    </row>
    <row r="608" spans="1:8" x14ac:dyDescent="0.3">
      <c r="A608">
        <v>1607</v>
      </c>
      <c r="B608">
        <v>732</v>
      </c>
      <c r="C608" t="s">
        <v>148</v>
      </c>
      <c r="D608" s="5">
        <v>45410</v>
      </c>
      <c r="E608" t="s">
        <v>12</v>
      </c>
      <c r="F608">
        <v>11</v>
      </c>
      <c r="G608" t="str">
        <f>VLOOKUP(Table28[[#This Row],[SKU]],Supplier_Products[[#All],[Supplier]:[SKU]],3,FALSE)</f>
        <v>ChargePro</v>
      </c>
      <c r="H608" t="str" cm="1">
        <f t="array" ref="H608">_xlfn.XLOOKUP(Table28[[#This Row],[SKU]],Supplier_Products[[#All],[SKU]],Supplier_Products[[#All],[Supplier]])</f>
        <v>ChargePro</v>
      </c>
    </row>
    <row r="609" spans="1:8" x14ac:dyDescent="0.3">
      <c r="A609">
        <v>1608</v>
      </c>
      <c r="B609">
        <v>524</v>
      </c>
      <c r="C609" t="s">
        <v>158</v>
      </c>
      <c r="D609" s="5">
        <v>45371</v>
      </c>
      <c r="E609" t="s">
        <v>186</v>
      </c>
      <c r="F609">
        <v>12</v>
      </c>
      <c r="G609" t="str">
        <f>VLOOKUP(Table28[[#This Row],[SKU]],Supplier_Products[[#All],[Supplier]:[SKU]],3,FALSE)</f>
        <v>ClickTech</v>
      </c>
      <c r="H609" t="str" cm="1">
        <f t="array" ref="H609">_xlfn.XLOOKUP(Table28[[#This Row],[SKU]],Supplier_Products[[#All],[SKU]],Supplier_Products[[#All],[Supplier]])</f>
        <v>ClickTech</v>
      </c>
    </row>
    <row r="610" spans="1:8" x14ac:dyDescent="0.3">
      <c r="A610">
        <v>1609</v>
      </c>
      <c r="B610">
        <v>653</v>
      </c>
      <c r="C610" t="s">
        <v>158</v>
      </c>
      <c r="D610" s="5">
        <v>45470</v>
      </c>
      <c r="E610" t="s">
        <v>186</v>
      </c>
      <c r="F610">
        <v>8</v>
      </c>
      <c r="G610" t="str">
        <f>VLOOKUP(Table28[[#This Row],[SKU]],Supplier_Products[[#All],[Supplier]:[SKU]],3,FALSE)</f>
        <v>ClickTech</v>
      </c>
      <c r="H610" t="str" cm="1">
        <f t="array" ref="H610">_xlfn.XLOOKUP(Table28[[#This Row],[SKU]],Supplier_Products[[#All],[SKU]],Supplier_Products[[#All],[Supplier]])</f>
        <v>ClickTech</v>
      </c>
    </row>
    <row r="611" spans="1:8" x14ac:dyDescent="0.3">
      <c r="A611">
        <v>1610</v>
      </c>
      <c r="B611">
        <v>747</v>
      </c>
      <c r="C611" t="s">
        <v>117</v>
      </c>
      <c r="D611" s="5">
        <v>45645</v>
      </c>
      <c r="E611" t="s">
        <v>190</v>
      </c>
      <c r="F611">
        <v>16</v>
      </c>
      <c r="G611" t="str">
        <f>VLOOKUP(Table28[[#This Row],[SKU]],Supplier_Products[[#All],[Supplier]:[SKU]],3,FALSE)</f>
        <v>DataSafe</v>
      </c>
      <c r="H611" t="str" cm="1">
        <f t="array" ref="H611">_xlfn.XLOOKUP(Table28[[#This Row],[SKU]],Supplier_Products[[#All],[SKU]],Supplier_Products[[#All],[Supplier]])</f>
        <v>DataSafe</v>
      </c>
    </row>
    <row r="612" spans="1:8" x14ac:dyDescent="0.3">
      <c r="A612">
        <v>1611</v>
      </c>
      <c r="B612">
        <v>571</v>
      </c>
      <c r="C612" t="s">
        <v>11</v>
      </c>
      <c r="D612" s="5">
        <v>45633</v>
      </c>
      <c r="E612" t="s">
        <v>12</v>
      </c>
      <c r="F612">
        <v>16</v>
      </c>
      <c r="G612" t="str">
        <f>VLOOKUP(Table28[[#This Row],[SKU]],Supplier_Products[[#All],[Supplier]:[SKU]],3,FALSE)</f>
        <v>ChargePro</v>
      </c>
      <c r="H612" t="str" cm="1">
        <f t="array" ref="H612">_xlfn.XLOOKUP(Table28[[#This Row],[SKU]],Supplier_Products[[#All],[SKU]],Supplier_Products[[#All],[Supplier]])</f>
        <v>ChargePro</v>
      </c>
    </row>
    <row r="613" spans="1:8" x14ac:dyDescent="0.3">
      <c r="A613">
        <v>1612</v>
      </c>
      <c r="B613">
        <v>663</v>
      </c>
      <c r="C613" t="s">
        <v>110</v>
      </c>
      <c r="D613" s="5">
        <v>45482</v>
      </c>
      <c r="E613" t="s">
        <v>188</v>
      </c>
      <c r="F613">
        <v>19</v>
      </c>
      <c r="G613" t="str">
        <f>VLOOKUP(Table28[[#This Row],[SKU]],Supplier_Products[[#All],[Supplier]:[SKU]],3,FALSE)</f>
        <v>PlayMax</v>
      </c>
      <c r="H613" t="str" cm="1">
        <f t="array" ref="H613">_xlfn.XLOOKUP(Table28[[#This Row],[SKU]],Supplier_Products[[#All],[SKU]],Supplier_Products[[#All],[Supplier]])</f>
        <v>PlayMax</v>
      </c>
    </row>
    <row r="614" spans="1:8" x14ac:dyDescent="0.3">
      <c r="A614">
        <v>1613</v>
      </c>
      <c r="B614">
        <v>729</v>
      </c>
      <c r="C614" t="s">
        <v>8</v>
      </c>
      <c r="D614" s="5">
        <v>45300</v>
      </c>
      <c r="E614" t="s">
        <v>15</v>
      </c>
      <c r="F614">
        <v>11</v>
      </c>
      <c r="G614" t="str">
        <f>VLOOKUP(Table28[[#This Row],[SKU]],Supplier_Products[[#All],[Supplier]:[SKU]],3,FALSE)</f>
        <v>Wearable Inc.</v>
      </c>
      <c r="H614" t="str" cm="1">
        <f t="array" ref="H614">_xlfn.XLOOKUP(Table28[[#This Row],[SKU]],Supplier_Products[[#All],[SKU]],Supplier_Products[[#All],[Supplier]])</f>
        <v>Wearable Inc.</v>
      </c>
    </row>
    <row r="615" spans="1:8" x14ac:dyDescent="0.3">
      <c r="A615">
        <v>1614</v>
      </c>
      <c r="B615">
        <v>701</v>
      </c>
      <c r="C615" t="s">
        <v>7</v>
      </c>
      <c r="D615" s="5">
        <v>45523</v>
      </c>
      <c r="E615" t="s">
        <v>13</v>
      </c>
      <c r="F615">
        <v>3</v>
      </c>
      <c r="G615" t="str">
        <f>VLOOKUP(Table28[[#This Row],[SKU]],Supplier_Products[[#All],[Supplier]:[SKU]],3,FALSE)</f>
        <v>SoundCo</v>
      </c>
      <c r="H615" t="str" cm="1">
        <f t="array" ref="H615">_xlfn.XLOOKUP(Table28[[#This Row],[SKU]],Supplier_Products[[#All],[SKU]],Supplier_Products[[#All],[Supplier]])</f>
        <v>SoundCo</v>
      </c>
    </row>
    <row r="616" spans="1:8" x14ac:dyDescent="0.3">
      <c r="A616">
        <v>1615</v>
      </c>
      <c r="B616">
        <v>530</v>
      </c>
      <c r="C616" t="s">
        <v>154</v>
      </c>
      <c r="D616" s="5">
        <v>45358</v>
      </c>
      <c r="E616" t="s">
        <v>187</v>
      </c>
      <c r="F616">
        <v>1</v>
      </c>
      <c r="G616" t="str">
        <f>VLOOKUP(Table28[[#This Row],[SKU]],Supplier_Products[[#All],[Supplier]:[SKU]],3,FALSE)</f>
        <v>ShutterPro</v>
      </c>
      <c r="H616" t="str" cm="1">
        <f t="array" ref="H616">_xlfn.XLOOKUP(Table28[[#This Row],[SKU]],Supplier_Products[[#All],[SKU]],Supplier_Products[[#All],[Supplier]])</f>
        <v>ShutterPro</v>
      </c>
    </row>
    <row r="617" spans="1:8" x14ac:dyDescent="0.3">
      <c r="A617">
        <v>1616</v>
      </c>
      <c r="B617">
        <v>600</v>
      </c>
      <c r="C617" t="s">
        <v>156</v>
      </c>
      <c r="D617" s="5">
        <v>45597</v>
      </c>
      <c r="E617" t="s">
        <v>186</v>
      </c>
      <c r="F617">
        <v>14</v>
      </c>
      <c r="G617" t="str">
        <f>VLOOKUP(Table28[[#This Row],[SKU]],Supplier_Products[[#All],[Supplier]:[SKU]],3,FALSE)</f>
        <v>ClickTech</v>
      </c>
      <c r="H617" t="str" cm="1">
        <f t="array" ref="H617">_xlfn.XLOOKUP(Table28[[#This Row],[SKU]],Supplier_Products[[#All],[SKU]],Supplier_Products[[#All],[Supplier]])</f>
        <v>ClickTech</v>
      </c>
    </row>
    <row r="618" spans="1:8" x14ac:dyDescent="0.3">
      <c r="A618">
        <v>1617</v>
      </c>
      <c r="B618">
        <v>662</v>
      </c>
      <c r="C618" t="s">
        <v>110</v>
      </c>
      <c r="D618" s="5">
        <v>45436</v>
      </c>
      <c r="E618" t="s">
        <v>188</v>
      </c>
      <c r="F618">
        <v>17</v>
      </c>
      <c r="G618" t="str">
        <f>VLOOKUP(Table28[[#This Row],[SKU]],Supplier_Products[[#All],[Supplier]:[SKU]],3,FALSE)</f>
        <v>PlayMax</v>
      </c>
      <c r="H618" t="str" cm="1">
        <f t="array" ref="H618">_xlfn.XLOOKUP(Table28[[#This Row],[SKU]],Supplier_Products[[#All],[SKU]],Supplier_Products[[#All],[Supplier]])</f>
        <v>PlayMax</v>
      </c>
    </row>
    <row r="619" spans="1:8" x14ac:dyDescent="0.3">
      <c r="A619">
        <v>1618</v>
      </c>
      <c r="B619">
        <v>623</v>
      </c>
      <c r="C619" t="s">
        <v>175</v>
      </c>
      <c r="D619" s="5">
        <v>45566</v>
      </c>
      <c r="E619" t="s">
        <v>186</v>
      </c>
      <c r="F619">
        <v>8</v>
      </c>
      <c r="G619" t="str">
        <f>VLOOKUP(Table28[[#This Row],[SKU]],Supplier_Products[[#All],[Supplier]:[SKU]],3,FALSE)</f>
        <v>DisplayPro</v>
      </c>
      <c r="H619" t="str" cm="1">
        <f t="array" ref="H619">_xlfn.XLOOKUP(Table28[[#This Row],[SKU]],Supplier_Products[[#All],[SKU]],Supplier_Products[[#All],[Supplier]])</f>
        <v>DisplayPro</v>
      </c>
    </row>
    <row r="620" spans="1:8" x14ac:dyDescent="0.3">
      <c r="A620">
        <v>1619</v>
      </c>
      <c r="B620">
        <v>637</v>
      </c>
      <c r="C620" t="s">
        <v>160</v>
      </c>
      <c r="D620" s="5">
        <v>45574</v>
      </c>
      <c r="E620" t="s">
        <v>13</v>
      </c>
      <c r="F620">
        <v>16</v>
      </c>
      <c r="G620" t="str">
        <f>VLOOKUP(Table28[[#This Row],[SKU]],Supplier_Products[[#All],[Supplier]:[SKU]],3,FALSE)</f>
        <v>SoundCo</v>
      </c>
      <c r="H620" t="str" cm="1">
        <f t="array" ref="H620">_xlfn.XLOOKUP(Table28[[#This Row],[SKU]],Supplier_Products[[#All],[SKU]],Supplier_Products[[#All],[Supplier]])</f>
        <v>SoundCo</v>
      </c>
    </row>
    <row r="621" spans="1:8" x14ac:dyDescent="0.3">
      <c r="A621">
        <v>1620</v>
      </c>
      <c r="B621">
        <v>714</v>
      </c>
      <c r="C621" t="s">
        <v>133</v>
      </c>
      <c r="D621" s="5">
        <v>45362</v>
      </c>
      <c r="E621" t="s">
        <v>14</v>
      </c>
      <c r="F621">
        <v>8</v>
      </c>
      <c r="G621" t="str">
        <f>VLOOKUP(Table28[[#This Row],[SKU]],Supplier_Products[[#All],[Supplier]:[SKU]],3,FALSE)</f>
        <v>SafeTech</v>
      </c>
      <c r="H621" t="str" cm="1">
        <f t="array" ref="H621">_xlfn.XLOOKUP(Table28[[#This Row],[SKU]],Supplier_Products[[#All],[SKU]],Supplier_Products[[#All],[Supplier]])</f>
        <v>SafeTech</v>
      </c>
    </row>
    <row r="622" spans="1:8" x14ac:dyDescent="0.3">
      <c r="A622">
        <v>1621</v>
      </c>
      <c r="B622">
        <v>747</v>
      </c>
      <c r="C622" t="s">
        <v>140</v>
      </c>
      <c r="D622" s="5">
        <v>45414</v>
      </c>
      <c r="E622" t="s">
        <v>187</v>
      </c>
      <c r="F622">
        <v>11</v>
      </c>
      <c r="G622" t="str">
        <f>VLOOKUP(Table28[[#This Row],[SKU]],Supplier_Products[[#All],[Supplier]:[SKU]],3,FALSE)</f>
        <v>SoundWave</v>
      </c>
      <c r="H622" t="str" cm="1">
        <f t="array" ref="H622">_xlfn.XLOOKUP(Table28[[#This Row],[SKU]],Supplier_Products[[#All],[SKU]],Supplier_Products[[#All],[Supplier]])</f>
        <v>SoundWave</v>
      </c>
    </row>
    <row r="623" spans="1:8" x14ac:dyDescent="0.3">
      <c r="A623">
        <v>1622</v>
      </c>
      <c r="B623">
        <v>544</v>
      </c>
      <c r="C623" t="s">
        <v>7</v>
      </c>
      <c r="D623" s="5">
        <v>45423</v>
      </c>
      <c r="E623" t="s">
        <v>13</v>
      </c>
      <c r="F623">
        <v>18</v>
      </c>
      <c r="G623" t="str">
        <f>VLOOKUP(Table28[[#This Row],[SKU]],Supplier_Products[[#All],[Supplier]:[SKU]],3,FALSE)</f>
        <v>SoundCo</v>
      </c>
      <c r="H623" t="str" cm="1">
        <f t="array" ref="H623">_xlfn.XLOOKUP(Table28[[#This Row],[SKU]],Supplier_Products[[#All],[SKU]],Supplier_Products[[#All],[Supplier]])</f>
        <v>SoundCo</v>
      </c>
    </row>
    <row r="624" spans="1:8" x14ac:dyDescent="0.3">
      <c r="A624">
        <v>1623</v>
      </c>
      <c r="B624">
        <v>558</v>
      </c>
      <c r="C624" t="s">
        <v>9</v>
      </c>
      <c r="D624" s="5">
        <v>45487</v>
      </c>
      <c r="E624" t="s">
        <v>14</v>
      </c>
      <c r="F624">
        <v>17</v>
      </c>
      <c r="G624" t="str">
        <f>VLOOKUP(Table28[[#This Row],[SKU]],Supplier_Products[[#All],[Supplier]:[SKU]],3,FALSE)</f>
        <v>CompuTech</v>
      </c>
      <c r="H624" t="str" cm="1">
        <f t="array" ref="H624">_xlfn.XLOOKUP(Table28[[#This Row],[SKU]],Supplier_Products[[#All],[SKU]],Supplier_Products[[#All],[Supplier]])</f>
        <v>CompuTech</v>
      </c>
    </row>
    <row r="625" spans="1:8" x14ac:dyDescent="0.3">
      <c r="A625">
        <v>1624</v>
      </c>
      <c r="B625">
        <v>721</v>
      </c>
      <c r="C625" t="s">
        <v>169</v>
      </c>
      <c r="D625" s="5">
        <v>45603</v>
      </c>
      <c r="E625" t="s">
        <v>14</v>
      </c>
      <c r="F625">
        <v>16</v>
      </c>
      <c r="G625" t="str">
        <f>VLOOKUP(Table28[[#This Row],[SKU]],Supplier_Products[[#All],[Supplier]:[SKU]],3,FALSE)</f>
        <v>SafeDrive</v>
      </c>
      <c r="H625" t="str" cm="1">
        <f t="array" ref="H625">_xlfn.XLOOKUP(Table28[[#This Row],[SKU]],Supplier_Products[[#All],[SKU]],Supplier_Products[[#All],[Supplier]])</f>
        <v>SafeDrive</v>
      </c>
    </row>
    <row r="626" spans="1:8" x14ac:dyDescent="0.3">
      <c r="A626">
        <v>1625</v>
      </c>
      <c r="B626">
        <v>603</v>
      </c>
      <c r="C626" t="s">
        <v>184</v>
      </c>
      <c r="D626" s="5">
        <v>45391</v>
      </c>
      <c r="E626" t="s">
        <v>189</v>
      </c>
      <c r="F626">
        <v>8</v>
      </c>
      <c r="G626" t="str">
        <f>VLOOKUP(Table28[[#This Row],[SKU]],Supplier_Products[[#All],[Supplier]:[SKU]],3,FALSE)</f>
        <v>VisionTech</v>
      </c>
      <c r="H626" t="str" cm="1">
        <f t="array" ref="H626">_xlfn.XLOOKUP(Table28[[#This Row],[SKU]],Supplier_Products[[#All],[SKU]],Supplier_Products[[#All],[Supplier]])</f>
        <v>VisionTech</v>
      </c>
    </row>
    <row r="627" spans="1:8" x14ac:dyDescent="0.3">
      <c r="A627">
        <v>1626</v>
      </c>
      <c r="B627">
        <v>617</v>
      </c>
      <c r="C627" t="s">
        <v>114</v>
      </c>
      <c r="D627" s="5">
        <v>45350</v>
      </c>
      <c r="E627" t="s">
        <v>189</v>
      </c>
      <c r="F627">
        <v>10</v>
      </c>
      <c r="G627" t="str">
        <f>VLOOKUP(Table28[[#This Row],[SKU]],Supplier_Products[[#All],[Supplier]:[SKU]],3,FALSE)</f>
        <v>VisionTech</v>
      </c>
      <c r="H627" t="str" cm="1">
        <f t="array" ref="H627">_xlfn.XLOOKUP(Table28[[#This Row],[SKU]],Supplier_Products[[#All],[SKU]],Supplier_Products[[#All],[Supplier]])</f>
        <v>VisionTech</v>
      </c>
    </row>
    <row r="628" spans="1:8" x14ac:dyDescent="0.3">
      <c r="A628">
        <v>1627</v>
      </c>
      <c r="B628">
        <v>667</v>
      </c>
      <c r="C628" t="s">
        <v>8</v>
      </c>
      <c r="D628" s="5">
        <v>45604</v>
      </c>
      <c r="E628" t="s">
        <v>15</v>
      </c>
      <c r="F628">
        <v>8</v>
      </c>
      <c r="G628" t="str">
        <f>VLOOKUP(Table28[[#This Row],[SKU]],Supplier_Products[[#All],[Supplier]:[SKU]],3,FALSE)</f>
        <v>Wearable Inc.</v>
      </c>
      <c r="H628" t="str" cm="1">
        <f t="array" ref="H628">_xlfn.XLOOKUP(Table28[[#This Row],[SKU]],Supplier_Products[[#All],[SKU]],Supplier_Products[[#All],[Supplier]])</f>
        <v>Wearable Inc.</v>
      </c>
    </row>
    <row r="629" spans="1:8" x14ac:dyDescent="0.3">
      <c r="A629">
        <v>1628</v>
      </c>
      <c r="B629">
        <v>503</v>
      </c>
      <c r="C629" t="s">
        <v>126</v>
      </c>
      <c r="D629" s="5">
        <v>45363</v>
      </c>
      <c r="E629" t="s">
        <v>191</v>
      </c>
      <c r="F629">
        <v>17</v>
      </c>
      <c r="G629" t="str">
        <f>VLOOKUP(Table28[[#This Row],[SKU]],Supplier_Products[[#All],[Supplier]:[SKU]],3,FALSE)</f>
        <v>FitTech</v>
      </c>
      <c r="H629" t="str" cm="1">
        <f t="array" ref="H629">_xlfn.XLOOKUP(Table28[[#This Row],[SKU]],Supplier_Products[[#All],[SKU]],Supplier_Products[[#All],[Supplier]])</f>
        <v>FitTech</v>
      </c>
    </row>
    <row r="630" spans="1:8" x14ac:dyDescent="0.3">
      <c r="A630">
        <v>1629</v>
      </c>
      <c r="B630">
        <v>574</v>
      </c>
      <c r="C630" t="s">
        <v>173</v>
      </c>
      <c r="D630" s="5">
        <v>45511</v>
      </c>
      <c r="E630" t="s">
        <v>14</v>
      </c>
      <c r="F630">
        <v>4</v>
      </c>
      <c r="G630" t="str">
        <f>VLOOKUP(Table28[[#This Row],[SKU]],Supplier_Products[[#All],[Supplier]:[SKU]],3,FALSE)</f>
        <v>SafeTech</v>
      </c>
      <c r="H630" t="str" cm="1">
        <f t="array" ref="H630">_xlfn.XLOOKUP(Table28[[#This Row],[SKU]],Supplier_Products[[#All],[SKU]],Supplier_Products[[#All],[Supplier]])</f>
        <v>SafeTech</v>
      </c>
    </row>
    <row r="631" spans="1:8" x14ac:dyDescent="0.3">
      <c r="A631">
        <v>1630</v>
      </c>
      <c r="B631">
        <v>604</v>
      </c>
      <c r="C631" t="s">
        <v>156</v>
      </c>
      <c r="D631" s="5">
        <v>45349</v>
      </c>
      <c r="E631" t="s">
        <v>186</v>
      </c>
      <c r="F631">
        <v>13</v>
      </c>
      <c r="G631" t="str">
        <f>VLOOKUP(Table28[[#This Row],[SKU]],Supplier_Products[[#All],[Supplier]:[SKU]],3,FALSE)</f>
        <v>ClickTech</v>
      </c>
      <c r="H631" t="str" cm="1">
        <f t="array" ref="H631">_xlfn.XLOOKUP(Table28[[#This Row],[SKU]],Supplier_Products[[#All],[SKU]],Supplier_Products[[#All],[Supplier]])</f>
        <v>ClickTech</v>
      </c>
    </row>
    <row r="632" spans="1:8" x14ac:dyDescent="0.3">
      <c r="A632">
        <v>1631</v>
      </c>
      <c r="B632">
        <v>748</v>
      </c>
      <c r="C632" t="s">
        <v>181</v>
      </c>
      <c r="D632" s="5">
        <v>45442</v>
      </c>
      <c r="E632" t="s">
        <v>12</v>
      </c>
      <c r="F632">
        <v>12</v>
      </c>
      <c r="G632" t="str">
        <f>VLOOKUP(Table28[[#This Row],[SKU]],Supplier_Products[[#All],[Supplier]:[SKU]],3,FALSE)</f>
        <v>PhotoFrame Inc.</v>
      </c>
      <c r="H632" t="str" cm="1">
        <f t="array" ref="H632">_xlfn.XLOOKUP(Table28[[#This Row],[SKU]],Supplier_Products[[#All],[SKU]],Supplier_Products[[#All],[Supplier]])</f>
        <v>PhotoFrame Inc.</v>
      </c>
    </row>
    <row r="633" spans="1:8" x14ac:dyDescent="0.3">
      <c r="A633">
        <v>1632</v>
      </c>
      <c r="B633">
        <v>696</v>
      </c>
      <c r="C633" t="s">
        <v>110</v>
      </c>
      <c r="D633" s="5">
        <v>45636</v>
      </c>
      <c r="E633" t="s">
        <v>188</v>
      </c>
      <c r="F633">
        <v>16</v>
      </c>
      <c r="G633" t="str">
        <f>VLOOKUP(Table28[[#This Row],[SKU]],Supplier_Products[[#All],[Supplier]:[SKU]],3,FALSE)</f>
        <v>PlayMax</v>
      </c>
      <c r="H633" t="str" cm="1">
        <f t="array" ref="H633">_xlfn.XLOOKUP(Table28[[#This Row],[SKU]],Supplier_Products[[#All],[SKU]],Supplier_Products[[#All],[Supplier]])</f>
        <v>PlayMax</v>
      </c>
    </row>
    <row r="634" spans="1:8" x14ac:dyDescent="0.3">
      <c r="A634">
        <v>1633</v>
      </c>
      <c r="B634">
        <v>599</v>
      </c>
      <c r="C634" t="s">
        <v>173</v>
      </c>
      <c r="D634" s="5">
        <v>45493</v>
      </c>
      <c r="E634" t="s">
        <v>14</v>
      </c>
      <c r="F634">
        <v>7</v>
      </c>
      <c r="G634" t="str">
        <f>VLOOKUP(Table28[[#This Row],[SKU]],Supplier_Products[[#All],[Supplier]:[SKU]],3,FALSE)</f>
        <v>SafeTech</v>
      </c>
      <c r="H634" t="str" cm="1">
        <f t="array" ref="H634">_xlfn.XLOOKUP(Table28[[#This Row],[SKU]],Supplier_Products[[#All],[SKU]],Supplier_Products[[#All],[Supplier]])</f>
        <v>SafeTech</v>
      </c>
    </row>
    <row r="635" spans="1:8" x14ac:dyDescent="0.3">
      <c r="A635">
        <v>1634</v>
      </c>
      <c r="B635">
        <v>683</v>
      </c>
      <c r="C635" t="s">
        <v>73</v>
      </c>
      <c r="D635" s="5">
        <v>45586</v>
      </c>
      <c r="E635" t="s">
        <v>186</v>
      </c>
      <c r="F635">
        <v>17</v>
      </c>
      <c r="G635" t="str">
        <f>VLOOKUP(Table28[[#This Row],[SKU]],Supplier_Products[[#All],[Supplier]:[SKU]],3,FALSE)</f>
        <v>ClickTech</v>
      </c>
      <c r="H635" t="str" cm="1">
        <f t="array" ref="H635">_xlfn.XLOOKUP(Table28[[#This Row],[SKU]],Supplier_Products[[#All],[SKU]],Supplier_Products[[#All],[Supplier]])</f>
        <v>ClickTech</v>
      </c>
    </row>
    <row r="636" spans="1:8" x14ac:dyDescent="0.3">
      <c r="A636">
        <v>1635</v>
      </c>
      <c r="B636">
        <v>685</v>
      </c>
      <c r="C636" t="s">
        <v>145</v>
      </c>
      <c r="D636" s="5">
        <v>45395</v>
      </c>
      <c r="E636" t="s">
        <v>190</v>
      </c>
      <c r="F636">
        <v>5</v>
      </c>
      <c r="G636" t="str">
        <f>VLOOKUP(Table28[[#This Row],[SKU]],Supplier_Products[[#All],[Supplier]:[SKU]],3,FALSE)</f>
        <v>BrightHome</v>
      </c>
      <c r="H636" t="str" cm="1">
        <f t="array" ref="H636">_xlfn.XLOOKUP(Table28[[#This Row],[SKU]],Supplier_Products[[#All],[SKU]],Supplier_Products[[#All],[Supplier]])</f>
        <v>BrightHome</v>
      </c>
    </row>
    <row r="637" spans="1:8" x14ac:dyDescent="0.3">
      <c r="A637">
        <v>1636</v>
      </c>
      <c r="B637">
        <v>721</v>
      </c>
      <c r="C637" t="s">
        <v>126</v>
      </c>
      <c r="D637" s="5">
        <v>45635</v>
      </c>
      <c r="E637" t="s">
        <v>191</v>
      </c>
      <c r="F637">
        <v>13</v>
      </c>
      <c r="G637" t="str">
        <f>VLOOKUP(Table28[[#This Row],[SKU]],Supplier_Products[[#All],[Supplier]:[SKU]],3,FALSE)</f>
        <v>FitTech</v>
      </c>
      <c r="H637" t="str" cm="1">
        <f t="array" ref="H637">_xlfn.XLOOKUP(Table28[[#This Row],[SKU]],Supplier_Products[[#All],[SKU]],Supplier_Products[[#All],[Supplier]])</f>
        <v>FitTech</v>
      </c>
    </row>
    <row r="638" spans="1:8" x14ac:dyDescent="0.3">
      <c r="A638">
        <v>1637</v>
      </c>
      <c r="B638">
        <v>587</v>
      </c>
      <c r="C638" t="s">
        <v>8</v>
      </c>
      <c r="D638" s="5">
        <v>45414</v>
      </c>
      <c r="E638" t="s">
        <v>15</v>
      </c>
      <c r="F638">
        <v>12</v>
      </c>
      <c r="G638" t="str">
        <f>VLOOKUP(Table28[[#This Row],[SKU]],Supplier_Products[[#All],[Supplier]:[SKU]],3,FALSE)</f>
        <v>Wearable Inc.</v>
      </c>
      <c r="H638" t="str" cm="1">
        <f t="array" ref="H638">_xlfn.XLOOKUP(Table28[[#This Row],[SKU]],Supplier_Products[[#All],[SKU]],Supplier_Products[[#All],[Supplier]])</f>
        <v>Wearable Inc.</v>
      </c>
    </row>
    <row r="639" spans="1:8" x14ac:dyDescent="0.3">
      <c r="A639">
        <v>1638</v>
      </c>
      <c r="B639">
        <v>671</v>
      </c>
      <c r="C639" t="s">
        <v>145</v>
      </c>
      <c r="D639" s="5">
        <v>45426</v>
      </c>
      <c r="E639" t="s">
        <v>190</v>
      </c>
      <c r="F639">
        <v>11</v>
      </c>
      <c r="G639" t="str">
        <f>VLOOKUP(Table28[[#This Row],[SKU]],Supplier_Products[[#All],[Supplier]:[SKU]],3,FALSE)</f>
        <v>BrightHome</v>
      </c>
      <c r="H639" t="str" cm="1">
        <f t="array" ref="H639">_xlfn.XLOOKUP(Table28[[#This Row],[SKU]],Supplier_Products[[#All],[SKU]],Supplier_Products[[#All],[Supplier]])</f>
        <v>BrightHome</v>
      </c>
    </row>
    <row r="640" spans="1:8" x14ac:dyDescent="0.3">
      <c r="A640">
        <v>1639</v>
      </c>
      <c r="B640">
        <v>664</v>
      </c>
      <c r="C640" t="s">
        <v>137</v>
      </c>
      <c r="D640" s="5">
        <v>45306</v>
      </c>
      <c r="E640" t="s">
        <v>188</v>
      </c>
      <c r="F640">
        <v>19</v>
      </c>
      <c r="G640" t="str">
        <f>VLOOKUP(Table28[[#This Row],[SKU]],Supplier_Products[[#All],[Supplier]:[SKU]],3,FALSE)</f>
        <v>CleanBot</v>
      </c>
      <c r="H640" t="str" cm="1">
        <f t="array" ref="H640">_xlfn.XLOOKUP(Table28[[#This Row],[SKU]],Supplier_Products[[#All],[SKU]],Supplier_Products[[#All],[Supplier]])</f>
        <v>CleanBot</v>
      </c>
    </row>
    <row r="641" spans="1:8" x14ac:dyDescent="0.3">
      <c r="A641">
        <v>1640</v>
      </c>
      <c r="B641">
        <v>524</v>
      </c>
      <c r="C641" t="s">
        <v>11</v>
      </c>
      <c r="D641" s="5">
        <v>45596</v>
      </c>
      <c r="E641" t="s">
        <v>12</v>
      </c>
      <c r="F641">
        <v>5</v>
      </c>
      <c r="G641" t="str">
        <f>VLOOKUP(Table28[[#This Row],[SKU]],Supplier_Products[[#All],[Supplier]:[SKU]],3,FALSE)</f>
        <v>ChargePro</v>
      </c>
      <c r="H641" t="str" cm="1">
        <f t="array" ref="H641">_xlfn.XLOOKUP(Table28[[#This Row],[SKU]],Supplier_Products[[#All],[SKU]],Supplier_Products[[#All],[Supplier]])</f>
        <v>ChargePro</v>
      </c>
    </row>
    <row r="642" spans="1:8" x14ac:dyDescent="0.3">
      <c r="A642">
        <v>1641</v>
      </c>
      <c r="B642">
        <v>680</v>
      </c>
      <c r="C642" t="s">
        <v>162</v>
      </c>
      <c r="D642" s="5">
        <v>45503</v>
      </c>
      <c r="E642" t="s">
        <v>189</v>
      </c>
      <c r="F642">
        <v>5</v>
      </c>
      <c r="G642" t="str">
        <f>VLOOKUP(Table28[[#This Row],[SKU]],Supplier_Products[[#All],[Supplier]:[SKU]],3,FALSE)</f>
        <v>AeroTech</v>
      </c>
      <c r="H642" t="str" cm="1">
        <f t="array" ref="H642">_xlfn.XLOOKUP(Table28[[#This Row],[SKU]],Supplier_Products[[#All],[SKU]],Supplier_Products[[#All],[Supplier]])</f>
        <v>AeroTech</v>
      </c>
    </row>
    <row r="643" spans="1:8" x14ac:dyDescent="0.3">
      <c r="A643">
        <v>1642</v>
      </c>
      <c r="B643">
        <v>749</v>
      </c>
      <c r="C643" t="s">
        <v>175</v>
      </c>
      <c r="D643" s="5">
        <v>45565</v>
      </c>
      <c r="E643" t="s">
        <v>186</v>
      </c>
      <c r="F643">
        <v>3</v>
      </c>
      <c r="G643" t="str">
        <f>VLOOKUP(Table28[[#This Row],[SKU]],Supplier_Products[[#All],[Supplier]:[SKU]],3,FALSE)</f>
        <v>DisplayPro</v>
      </c>
      <c r="H643" t="str" cm="1">
        <f t="array" ref="H643">_xlfn.XLOOKUP(Table28[[#This Row],[SKU]],Supplier_Products[[#All],[SKU]],Supplier_Products[[#All],[Supplier]])</f>
        <v>DisplayPro</v>
      </c>
    </row>
    <row r="644" spans="1:8" x14ac:dyDescent="0.3">
      <c r="A644">
        <v>1643</v>
      </c>
      <c r="B644">
        <v>502</v>
      </c>
      <c r="C644" t="s">
        <v>142</v>
      </c>
      <c r="D644" s="5">
        <v>45307</v>
      </c>
      <c r="E644" t="s">
        <v>186</v>
      </c>
      <c r="F644">
        <v>6</v>
      </c>
      <c r="G644" t="str">
        <f>VLOOKUP(Table28[[#This Row],[SKU]],Supplier_Products[[#All],[Supplier]:[SKU]],3,FALSE)</f>
        <v>GPUForce</v>
      </c>
      <c r="H644" t="str" cm="1">
        <f t="array" ref="H644">_xlfn.XLOOKUP(Table28[[#This Row],[SKU]],Supplier_Products[[#All],[SKU]],Supplier_Products[[#All],[Supplier]])</f>
        <v>GPUForce</v>
      </c>
    </row>
    <row r="645" spans="1:8" x14ac:dyDescent="0.3">
      <c r="A645">
        <v>1644</v>
      </c>
      <c r="B645">
        <v>501</v>
      </c>
      <c r="C645" t="s">
        <v>110</v>
      </c>
      <c r="D645" s="5">
        <v>45344</v>
      </c>
      <c r="E645" t="s">
        <v>188</v>
      </c>
      <c r="F645">
        <v>19</v>
      </c>
      <c r="G645" t="str">
        <f>VLOOKUP(Table28[[#This Row],[SKU]],Supplier_Products[[#All],[Supplier]:[SKU]],3,FALSE)</f>
        <v>PlayMax</v>
      </c>
      <c r="H645" t="str" cm="1">
        <f t="array" ref="H645">_xlfn.XLOOKUP(Table28[[#This Row],[SKU]],Supplier_Products[[#All],[SKU]],Supplier_Products[[#All],[Supplier]])</f>
        <v>PlayMax</v>
      </c>
    </row>
    <row r="646" spans="1:8" x14ac:dyDescent="0.3">
      <c r="A646">
        <v>1645</v>
      </c>
      <c r="B646">
        <v>717</v>
      </c>
      <c r="C646" t="s">
        <v>142</v>
      </c>
      <c r="D646" s="5">
        <v>45304</v>
      </c>
      <c r="E646" t="s">
        <v>186</v>
      </c>
      <c r="F646">
        <v>14</v>
      </c>
      <c r="G646" t="str">
        <f>VLOOKUP(Table28[[#This Row],[SKU]],Supplier_Products[[#All],[Supplier]:[SKU]],3,FALSE)</f>
        <v>GPUForce</v>
      </c>
      <c r="H646" t="str" cm="1">
        <f t="array" ref="H646">_xlfn.XLOOKUP(Table28[[#This Row],[SKU]],Supplier_Products[[#All],[SKU]],Supplier_Products[[#All],[Supplier]])</f>
        <v>GPUForce</v>
      </c>
    </row>
    <row r="647" spans="1:8" x14ac:dyDescent="0.3">
      <c r="A647">
        <v>1646</v>
      </c>
      <c r="B647">
        <v>572</v>
      </c>
      <c r="C647" t="s">
        <v>175</v>
      </c>
      <c r="D647" s="5">
        <v>45657</v>
      </c>
      <c r="E647" t="s">
        <v>186</v>
      </c>
      <c r="F647">
        <v>10</v>
      </c>
      <c r="G647" t="str">
        <f>VLOOKUP(Table28[[#This Row],[SKU]],Supplier_Products[[#All],[Supplier]:[SKU]],3,FALSE)</f>
        <v>DisplayPro</v>
      </c>
      <c r="H647" t="str" cm="1">
        <f t="array" ref="H647">_xlfn.XLOOKUP(Table28[[#This Row],[SKU]],Supplier_Products[[#All],[SKU]],Supplier_Products[[#All],[Supplier]])</f>
        <v>DisplayPro</v>
      </c>
    </row>
    <row r="648" spans="1:8" x14ac:dyDescent="0.3">
      <c r="A648">
        <v>1647</v>
      </c>
      <c r="B648">
        <v>656</v>
      </c>
      <c r="C648" t="s">
        <v>140</v>
      </c>
      <c r="D648" s="5">
        <v>45505</v>
      </c>
      <c r="E648" t="s">
        <v>187</v>
      </c>
      <c r="F648">
        <v>1</v>
      </c>
      <c r="G648" t="str">
        <f>VLOOKUP(Table28[[#This Row],[SKU]],Supplier_Products[[#All],[Supplier]:[SKU]],3,FALSE)</f>
        <v>SoundWave</v>
      </c>
      <c r="H648" t="str" cm="1">
        <f t="array" ref="H648">_xlfn.XLOOKUP(Table28[[#This Row],[SKU]],Supplier_Products[[#All],[SKU]],Supplier_Products[[#All],[Supplier]])</f>
        <v>SoundWave</v>
      </c>
    </row>
    <row r="649" spans="1:8" x14ac:dyDescent="0.3">
      <c r="A649">
        <v>1648</v>
      </c>
      <c r="B649">
        <v>732</v>
      </c>
      <c r="C649" t="s">
        <v>184</v>
      </c>
      <c r="D649" s="5">
        <v>45648</v>
      </c>
      <c r="E649" t="s">
        <v>189</v>
      </c>
      <c r="F649">
        <v>5</v>
      </c>
      <c r="G649" t="str">
        <f>VLOOKUP(Table28[[#This Row],[SKU]],Supplier_Products[[#All],[Supplier]:[SKU]],3,FALSE)</f>
        <v>VisionTech</v>
      </c>
      <c r="H649" t="str" cm="1">
        <f t="array" ref="H649">_xlfn.XLOOKUP(Table28[[#This Row],[SKU]],Supplier_Products[[#All],[SKU]],Supplier_Products[[#All],[Supplier]])</f>
        <v>VisionTech</v>
      </c>
    </row>
    <row r="650" spans="1:8" x14ac:dyDescent="0.3">
      <c r="A650">
        <v>1649</v>
      </c>
      <c r="B650">
        <v>699</v>
      </c>
      <c r="C650" t="s">
        <v>133</v>
      </c>
      <c r="D650" s="5">
        <v>45373</v>
      </c>
      <c r="E650" t="s">
        <v>14</v>
      </c>
      <c r="F650">
        <v>13</v>
      </c>
      <c r="G650" t="str">
        <f>VLOOKUP(Table28[[#This Row],[SKU]],Supplier_Products[[#All],[Supplier]:[SKU]],3,FALSE)</f>
        <v>SafeTech</v>
      </c>
      <c r="H650" t="str" cm="1">
        <f t="array" ref="H650">_xlfn.XLOOKUP(Table28[[#This Row],[SKU]],Supplier_Products[[#All],[SKU]],Supplier_Products[[#All],[Supplier]])</f>
        <v>SafeTech</v>
      </c>
    </row>
    <row r="651" spans="1:8" x14ac:dyDescent="0.3">
      <c r="A651">
        <v>1650</v>
      </c>
      <c r="B651">
        <v>581</v>
      </c>
      <c r="C651" t="s">
        <v>126</v>
      </c>
      <c r="D651" s="5">
        <v>45376</v>
      </c>
      <c r="E651" t="s">
        <v>191</v>
      </c>
      <c r="F651">
        <v>17</v>
      </c>
      <c r="G651" t="str">
        <f>VLOOKUP(Table28[[#This Row],[SKU]],Supplier_Products[[#All],[Supplier]:[SKU]],3,FALSE)</f>
        <v>FitTech</v>
      </c>
      <c r="H651" t="str" cm="1">
        <f t="array" ref="H651">_xlfn.XLOOKUP(Table28[[#This Row],[SKU]],Supplier_Products[[#All],[SKU]],Supplier_Products[[#All],[Supplier]])</f>
        <v>FitTech</v>
      </c>
    </row>
    <row r="652" spans="1:8" x14ac:dyDescent="0.3">
      <c r="A652">
        <v>1651</v>
      </c>
      <c r="B652">
        <v>520</v>
      </c>
      <c r="C652" t="s">
        <v>117</v>
      </c>
      <c r="D652" s="5">
        <v>45499</v>
      </c>
      <c r="E652" t="s">
        <v>190</v>
      </c>
      <c r="F652">
        <v>19</v>
      </c>
      <c r="G652" t="str">
        <f>VLOOKUP(Table28[[#This Row],[SKU]],Supplier_Products[[#All],[Supplier]:[SKU]],3,FALSE)</f>
        <v>DataSafe</v>
      </c>
      <c r="H652" t="str" cm="1">
        <f t="array" ref="H652">_xlfn.XLOOKUP(Table28[[#This Row],[SKU]],Supplier_Products[[#All],[SKU]],Supplier_Products[[#All],[Supplier]])</f>
        <v>DataSafe</v>
      </c>
    </row>
    <row r="653" spans="1:8" x14ac:dyDescent="0.3">
      <c r="A653">
        <v>1652</v>
      </c>
      <c r="B653">
        <v>586</v>
      </c>
      <c r="C653" t="s">
        <v>6</v>
      </c>
      <c r="D653" s="5">
        <v>45624</v>
      </c>
      <c r="E653" t="s">
        <v>12</v>
      </c>
      <c r="F653">
        <v>4</v>
      </c>
      <c r="G653" t="str">
        <f>VLOOKUP(Table28[[#This Row],[SKU]],Supplier_Products[[#All],[Supplier]:[SKU]],3,FALSE)</f>
        <v>TechCorp</v>
      </c>
      <c r="H653" t="str" cm="1">
        <f t="array" ref="H653">_xlfn.XLOOKUP(Table28[[#This Row],[SKU]],Supplier_Products[[#All],[SKU]],Supplier_Products[[#All],[Supplier]])</f>
        <v>TechCorp</v>
      </c>
    </row>
    <row r="654" spans="1:8" x14ac:dyDescent="0.3">
      <c r="A654">
        <v>1653</v>
      </c>
      <c r="B654">
        <v>558</v>
      </c>
      <c r="C654" t="s">
        <v>184</v>
      </c>
      <c r="D654" s="5">
        <v>45468</v>
      </c>
      <c r="E654" t="s">
        <v>189</v>
      </c>
      <c r="F654">
        <v>20</v>
      </c>
      <c r="G654" t="str">
        <f>VLOOKUP(Table28[[#This Row],[SKU]],Supplier_Products[[#All],[Supplier]:[SKU]],3,FALSE)</f>
        <v>VisionTech</v>
      </c>
      <c r="H654" t="str" cm="1">
        <f t="array" ref="H654">_xlfn.XLOOKUP(Table28[[#This Row],[SKU]],Supplier_Products[[#All],[SKU]],Supplier_Products[[#All],[Supplier]])</f>
        <v>VisionTech</v>
      </c>
    </row>
    <row r="655" spans="1:8" x14ac:dyDescent="0.3">
      <c r="A655">
        <v>1654</v>
      </c>
      <c r="B655">
        <v>501</v>
      </c>
      <c r="C655" t="s">
        <v>126</v>
      </c>
      <c r="D655" s="5">
        <v>45355</v>
      </c>
      <c r="E655" t="s">
        <v>191</v>
      </c>
      <c r="F655">
        <v>18</v>
      </c>
      <c r="G655" t="str">
        <f>VLOOKUP(Table28[[#This Row],[SKU]],Supplier_Products[[#All],[Supplier]:[SKU]],3,FALSE)</f>
        <v>FitTech</v>
      </c>
      <c r="H655" t="str" cm="1">
        <f t="array" ref="H655">_xlfn.XLOOKUP(Table28[[#This Row],[SKU]],Supplier_Products[[#All],[SKU]],Supplier_Products[[#All],[Supplier]])</f>
        <v>FitTech</v>
      </c>
    </row>
    <row r="656" spans="1:8" x14ac:dyDescent="0.3">
      <c r="A656">
        <v>1655</v>
      </c>
      <c r="B656">
        <v>541</v>
      </c>
      <c r="C656" t="s">
        <v>110</v>
      </c>
      <c r="D656" s="5">
        <v>45375</v>
      </c>
      <c r="E656" t="s">
        <v>188</v>
      </c>
      <c r="F656">
        <v>12</v>
      </c>
      <c r="G656" t="str">
        <f>VLOOKUP(Table28[[#This Row],[SKU]],Supplier_Products[[#All],[Supplier]:[SKU]],3,FALSE)</f>
        <v>PlayMax</v>
      </c>
      <c r="H656" t="str" cm="1">
        <f t="array" ref="H656">_xlfn.XLOOKUP(Table28[[#This Row],[SKU]],Supplier_Products[[#All],[SKU]],Supplier_Products[[#All],[Supplier]])</f>
        <v>PlayMax</v>
      </c>
    </row>
    <row r="657" spans="1:8" x14ac:dyDescent="0.3">
      <c r="A657">
        <v>1656</v>
      </c>
      <c r="B657">
        <v>593</v>
      </c>
      <c r="C657" t="s">
        <v>7</v>
      </c>
      <c r="D657" s="5">
        <v>45395</v>
      </c>
      <c r="E657" t="s">
        <v>13</v>
      </c>
      <c r="F657">
        <v>5</v>
      </c>
      <c r="G657" t="str">
        <f>VLOOKUP(Table28[[#This Row],[SKU]],Supplier_Products[[#All],[Supplier]:[SKU]],3,FALSE)</f>
        <v>SoundCo</v>
      </c>
      <c r="H657" t="str" cm="1">
        <f t="array" ref="H657">_xlfn.XLOOKUP(Table28[[#This Row],[SKU]],Supplier_Products[[#All],[SKU]],Supplier_Products[[#All],[Supplier]])</f>
        <v>SoundCo</v>
      </c>
    </row>
    <row r="658" spans="1:8" x14ac:dyDescent="0.3">
      <c r="A658">
        <v>1657</v>
      </c>
      <c r="B658">
        <v>521</v>
      </c>
      <c r="C658" t="s">
        <v>140</v>
      </c>
      <c r="D658" s="5">
        <v>45465</v>
      </c>
      <c r="E658" t="s">
        <v>187</v>
      </c>
      <c r="F658">
        <v>8</v>
      </c>
      <c r="G658" t="str">
        <f>VLOOKUP(Table28[[#This Row],[SKU]],Supplier_Products[[#All],[Supplier]:[SKU]],3,FALSE)</f>
        <v>SoundWave</v>
      </c>
      <c r="H658" t="str" cm="1">
        <f t="array" ref="H658">_xlfn.XLOOKUP(Table28[[#This Row],[SKU]],Supplier_Products[[#All],[SKU]],Supplier_Products[[#All],[Supplier]])</f>
        <v>SoundWave</v>
      </c>
    </row>
    <row r="659" spans="1:8" x14ac:dyDescent="0.3">
      <c r="A659">
        <v>1658</v>
      </c>
      <c r="B659">
        <v>631</v>
      </c>
      <c r="C659" t="s">
        <v>133</v>
      </c>
      <c r="D659" s="5">
        <v>45314</v>
      </c>
      <c r="E659" t="s">
        <v>14</v>
      </c>
      <c r="F659">
        <v>19</v>
      </c>
      <c r="G659" t="str">
        <f>VLOOKUP(Table28[[#This Row],[SKU]],Supplier_Products[[#All],[Supplier]:[SKU]],3,FALSE)</f>
        <v>SafeTech</v>
      </c>
      <c r="H659" t="str" cm="1">
        <f t="array" ref="H659">_xlfn.XLOOKUP(Table28[[#This Row],[SKU]],Supplier_Products[[#All],[SKU]],Supplier_Products[[#All],[Supplier]])</f>
        <v>SafeTech</v>
      </c>
    </row>
    <row r="660" spans="1:8" x14ac:dyDescent="0.3">
      <c r="A660">
        <v>1659</v>
      </c>
      <c r="B660">
        <v>505</v>
      </c>
      <c r="C660" t="s">
        <v>181</v>
      </c>
      <c r="D660" s="5">
        <v>45416</v>
      </c>
      <c r="E660" t="s">
        <v>12</v>
      </c>
      <c r="F660">
        <v>10</v>
      </c>
      <c r="G660" t="str">
        <f>VLOOKUP(Table28[[#This Row],[SKU]],Supplier_Products[[#All],[Supplier]:[SKU]],3,FALSE)</f>
        <v>PhotoFrame Inc.</v>
      </c>
      <c r="H660" t="str" cm="1">
        <f t="array" ref="H660">_xlfn.XLOOKUP(Table28[[#This Row],[SKU]],Supplier_Products[[#All],[SKU]],Supplier_Products[[#All],[Supplier]])</f>
        <v>PhotoFrame Inc.</v>
      </c>
    </row>
    <row r="661" spans="1:8" x14ac:dyDescent="0.3">
      <c r="A661">
        <v>1660</v>
      </c>
      <c r="B661">
        <v>610</v>
      </c>
      <c r="C661" t="s">
        <v>166</v>
      </c>
      <c r="D661" s="5">
        <v>45506</v>
      </c>
      <c r="E661" t="s">
        <v>191</v>
      </c>
      <c r="F661">
        <v>1</v>
      </c>
      <c r="G661" t="str">
        <f>VLOOKUP(Table28[[#This Row],[SKU]],Supplier_Products[[#All],[Supplier]:[SKU]],3,FALSE)</f>
        <v>BookTech</v>
      </c>
      <c r="H661" t="str" cm="1">
        <f t="array" ref="H661">_xlfn.XLOOKUP(Table28[[#This Row],[SKU]],Supplier_Products[[#All],[SKU]],Supplier_Products[[#All],[Supplier]])</f>
        <v>BookTech</v>
      </c>
    </row>
    <row r="662" spans="1:8" x14ac:dyDescent="0.3">
      <c r="A662">
        <v>1661</v>
      </c>
      <c r="B662">
        <v>614</v>
      </c>
      <c r="C662" t="s">
        <v>73</v>
      </c>
      <c r="D662" s="5">
        <v>45329</v>
      </c>
      <c r="E662" t="s">
        <v>186</v>
      </c>
      <c r="F662">
        <v>4</v>
      </c>
      <c r="G662" t="str">
        <f>VLOOKUP(Table28[[#This Row],[SKU]],Supplier_Products[[#All],[Supplier]:[SKU]],3,FALSE)</f>
        <v>ClickTech</v>
      </c>
      <c r="H662" t="str" cm="1">
        <f t="array" ref="H662">_xlfn.XLOOKUP(Table28[[#This Row],[SKU]],Supplier_Products[[#All],[SKU]],Supplier_Products[[#All],[Supplier]])</f>
        <v>ClickTech</v>
      </c>
    </row>
    <row r="663" spans="1:8" x14ac:dyDescent="0.3">
      <c r="A663">
        <v>1662</v>
      </c>
      <c r="B663">
        <v>680</v>
      </c>
      <c r="C663" t="s">
        <v>126</v>
      </c>
      <c r="D663" s="5">
        <v>45598</v>
      </c>
      <c r="E663" t="s">
        <v>191</v>
      </c>
      <c r="F663">
        <v>5</v>
      </c>
      <c r="G663" t="str">
        <f>VLOOKUP(Table28[[#This Row],[SKU]],Supplier_Products[[#All],[Supplier]:[SKU]],3,FALSE)</f>
        <v>FitTech</v>
      </c>
      <c r="H663" t="str" cm="1">
        <f t="array" ref="H663">_xlfn.XLOOKUP(Table28[[#This Row],[SKU]],Supplier_Products[[#All],[SKU]],Supplier_Products[[#All],[Supplier]])</f>
        <v>FitTech</v>
      </c>
    </row>
    <row r="664" spans="1:8" x14ac:dyDescent="0.3">
      <c r="A664">
        <v>1663</v>
      </c>
      <c r="B664">
        <v>700</v>
      </c>
      <c r="C664" t="s">
        <v>126</v>
      </c>
      <c r="D664" s="5">
        <v>45598</v>
      </c>
      <c r="E664" t="s">
        <v>191</v>
      </c>
      <c r="F664">
        <v>13</v>
      </c>
      <c r="G664" t="str">
        <f>VLOOKUP(Table28[[#This Row],[SKU]],Supplier_Products[[#All],[Supplier]:[SKU]],3,FALSE)</f>
        <v>FitTech</v>
      </c>
      <c r="H664" t="str" cm="1">
        <f t="array" ref="H664">_xlfn.XLOOKUP(Table28[[#This Row],[SKU]],Supplier_Products[[#All],[SKU]],Supplier_Products[[#All],[Supplier]])</f>
        <v>FitTech</v>
      </c>
    </row>
    <row r="665" spans="1:8" x14ac:dyDescent="0.3">
      <c r="A665">
        <v>1664</v>
      </c>
      <c r="B665">
        <v>596</v>
      </c>
      <c r="C665" t="s">
        <v>140</v>
      </c>
      <c r="D665" s="5">
        <v>45428</v>
      </c>
      <c r="E665" t="s">
        <v>187</v>
      </c>
      <c r="F665">
        <v>19</v>
      </c>
      <c r="G665" t="str">
        <f>VLOOKUP(Table28[[#This Row],[SKU]],Supplier_Products[[#All],[Supplier]:[SKU]],3,FALSE)</f>
        <v>SoundWave</v>
      </c>
      <c r="H665" t="str" cm="1">
        <f t="array" ref="H665">_xlfn.XLOOKUP(Table28[[#This Row],[SKU]],Supplier_Products[[#All],[SKU]],Supplier_Products[[#All],[Supplier]])</f>
        <v>SoundWave</v>
      </c>
    </row>
    <row r="666" spans="1:8" x14ac:dyDescent="0.3">
      <c r="A666">
        <v>1665</v>
      </c>
      <c r="B666">
        <v>648</v>
      </c>
      <c r="C666" t="s">
        <v>126</v>
      </c>
      <c r="D666" s="5">
        <v>45536</v>
      </c>
      <c r="E666" t="s">
        <v>191</v>
      </c>
      <c r="F666">
        <v>18</v>
      </c>
      <c r="G666" t="str">
        <f>VLOOKUP(Table28[[#This Row],[SKU]],Supplier_Products[[#All],[Supplier]:[SKU]],3,FALSE)</f>
        <v>FitTech</v>
      </c>
      <c r="H666" t="str" cm="1">
        <f t="array" ref="H666">_xlfn.XLOOKUP(Table28[[#This Row],[SKU]],Supplier_Products[[#All],[SKU]],Supplier_Products[[#All],[Supplier]])</f>
        <v>FitTech</v>
      </c>
    </row>
    <row r="667" spans="1:8" x14ac:dyDescent="0.3">
      <c r="A667">
        <v>1666</v>
      </c>
      <c r="B667">
        <v>518</v>
      </c>
      <c r="C667" t="s">
        <v>145</v>
      </c>
      <c r="D667" s="5">
        <v>45458</v>
      </c>
      <c r="E667" t="s">
        <v>190</v>
      </c>
      <c r="F667">
        <v>17</v>
      </c>
      <c r="G667" t="str">
        <f>VLOOKUP(Table28[[#This Row],[SKU]],Supplier_Products[[#All],[Supplier]:[SKU]],3,FALSE)</f>
        <v>BrightHome</v>
      </c>
      <c r="H667" t="str" cm="1">
        <f t="array" ref="H667">_xlfn.XLOOKUP(Table28[[#This Row],[SKU]],Supplier_Products[[#All],[SKU]],Supplier_Products[[#All],[Supplier]])</f>
        <v>BrightHome</v>
      </c>
    </row>
    <row r="668" spans="1:8" x14ac:dyDescent="0.3">
      <c r="A668">
        <v>1667</v>
      </c>
      <c r="B668">
        <v>627</v>
      </c>
      <c r="C668" t="s">
        <v>110</v>
      </c>
      <c r="D668" s="5">
        <v>45651</v>
      </c>
      <c r="E668" t="s">
        <v>188</v>
      </c>
      <c r="F668">
        <v>8</v>
      </c>
      <c r="G668" t="str">
        <f>VLOOKUP(Table28[[#This Row],[SKU]],Supplier_Products[[#All],[Supplier]:[SKU]],3,FALSE)</f>
        <v>PlayMax</v>
      </c>
      <c r="H668" t="str" cm="1">
        <f t="array" ref="H668">_xlfn.XLOOKUP(Table28[[#This Row],[SKU]],Supplier_Products[[#All],[SKU]],Supplier_Products[[#All],[Supplier]])</f>
        <v>PlayMax</v>
      </c>
    </row>
    <row r="669" spans="1:8" x14ac:dyDescent="0.3">
      <c r="A669">
        <v>1668</v>
      </c>
      <c r="B669">
        <v>606</v>
      </c>
      <c r="C669" t="s">
        <v>133</v>
      </c>
      <c r="D669" s="5">
        <v>45482</v>
      </c>
      <c r="E669" t="s">
        <v>14</v>
      </c>
      <c r="F669">
        <v>7</v>
      </c>
      <c r="G669" t="str">
        <f>VLOOKUP(Table28[[#This Row],[SKU]],Supplier_Products[[#All],[Supplier]:[SKU]],3,FALSE)</f>
        <v>SafeTech</v>
      </c>
      <c r="H669" t="str" cm="1">
        <f t="array" ref="H669">_xlfn.XLOOKUP(Table28[[#This Row],[SKU]],Supplier_Products[[#All],[SKU]],Supplier_Products[[#All],[Supplier]])</f>
        <v>SafeTech</v>
      </c>
    </row>
    <row r="670" spans="1:8" x14ac:dyDescent="0.3">
      <c r="A670">
        <v>1669</v>
      </c>
      <c r="B670">
        <v>723</v>
      </c>
      <c r="C670" t="s">
        <v>142</v>
      </c>
      <c r="D670" s="5">
        <v>45525</v>
      </c>
      <c r="E670" t="s">
        <v>186</v>
      </c>
      <c r="F670">
        <v>14</v>
      </c>
      <c r="G670" t="str">
        <f>VLOOKUP(Table28[[#This Row],[SKU]],Supplier_Products[[#All],[Supplier]:[SKU]],3,FALSE)</f>
        <v>GPUForce</v>
      </c>
      <c r="H670" t="str" cm="1">
        <f t="array" ref="H670">_xlfn.XLOOKUP(Table28[[#This Row],[SKU]],Supplier_Products[[#All],[SKU]],Supplier_Products[[#All],[Supplier]])</f>
        <v>GPUForce</v>
      </c>
    </row>
    <row r="671" spans="1:8" x14ac:dyDescent="0.3">
      <c r="A671">
        <v>1670</v>
      </c>
      <c r="B671">
        <v>643</v>
      </c>
      <c r="C671" t="s">
        <v>133</v>
      </c>
      <c r="D671" s="5">
        <v>45316</v>
      </c>
      <c r="E671" t="s">
        <v>14</v>
      </c>
      <c r="F671">
        <v>10</v>
      </c>
      <c r="G671" t="str">
        <f>VLOOKUP(Table28[[#This Row],[SKU]],Supplier_Products[[#All],[Supplier]:[SKU]],3,FALSE)</f>
        <v>SafeTech</v>
      </c>
      <c r="H671" t="str" cm="1">
        <f t="array" ref="H671">_xlfn.XLOOKUP(Table28[[#This Row],[SKU]],Supplier_Products[[#All],[SKU]],Supplier_Products[[#All],[Supplier]])</f>
        <v>SafeTech</v>
      </c>
    </row>
    <row r="672" spans="1:8" x14ac:dyDescent="0.3">
      <c r="A672">
        <v>1671</v>
      </c>
      <c r="B672">
        <v>660</v>
      </c>
      <c r="C672" t="s">
        <v>142</v>
      </c>
      <c r="D672" s="5">
        <v>45399</v>
      </c>
      <c r="E672" t="s">
        <v>186</v>
      </c>
      <c r="F672">
        <v>1</v>
      </c>
      <c r="G672" t="str">
        <f>VLOOKUP(Table28[[#This Row],[SKU]],Supplier_Products[[#All],[Supplier]:[SKU]],3,FALSE)</f>
        <v>GPUForce</v>
      </c>
      <c r="H672" t="str" cm="1">
        <f t="array" ref="H672">_xlfn.XLOOKUP(Table28[[#This Row],[SKU]],Supplier_Products[[#All],[SKU]],Supplier_Products[[#All],[Supplier]])</f>
        <v>GPUForce</v>
      </c>
    </row>
    <row r="673" spans="1:8" x14ac:dyDescent="0.3">
      <c r="A673">
        <v>1672</v>
      </c>
      <c r="B673">
        <v>682</v>
      </c>
      <c r="C673" t="s">
        <v>129</v>
      </c>
      <c r="D673" s="5">
        <v>45394</v>
      </c>
      <c r="E673" t="s">
        <v>12</v>
      </c>
      <c r="F673">
        <v>10</v>
      </c>
      <c r="G673" t="str">
        <f>VLOOKUP(Table28[[#This Row],[SKU]],Supplier_Products[[#All],[Supplier]:[SKU]],3,FALSE)</f>
        <v>StreamIt</v>
      </c>
      <c r="H673" t="str" cm="1">
        <f t="array" ref="H673">_xlfn.XLOOKUP(Table28[[#This Row],[SKU]],Supplier_Products[[#All],[SKU]],Supplier_Products[[#All],[Supplier]])</f>
        <v>StreamIt</v>
      </c>
    </row>
    <row r="674" spans="1:8" x14ac:dyDescent="0.3">
      <c r="A674">
        <v>1673</v>
      </c>
      <c r="B674">
        <v>732</v>
      </c>
      <c r="C674" t="s">
        <v>169</v>
      </c>
      <c r="D674" s="5">
        <v>45310</v>
      </c>
      <c r="E674" t="s">
        <v>14</v>
      </c>
      <c r="F674">
        <v>12</v>
      </c>
      <c r="G674" t="str">
        <f>VLOOKUP(Table28[[#This Row],[SKU]],Supplier_Products[[#All],[Supplier]:[SKU]],3,FALSE)</f>
        <v>SafeDrive</v>
      </c>
      <c r="H674" t="str" cm="1">
        <f t="array" ref="H674">_xlfn.XLOOKUP(Table28[[#This Row],[SKU]],Supplier_Products[[#All],[SKU]],Supplier_Products[[#All],[Supplier]])</f>
        <v>SafeDrive</v>
      </c>
    </row>
    <row r="675" spans="1:8" x14ac:dyDescent="0.3">
      <c r="A675">
        <v>1674</v>
      </c>
      <c r="B675">
        <v>746</v>
      </c>
      <c r="C675" t="s">
        <v>123</v>
      </c>
      <c r="D675" s="5">
        <v>45578</v>
      </c>
      <c r="E675" t="s">
        <v>189</v>
      </c>
      <c r="F675">
        <v>20</v>
      </c>
      <c r="G675" t="str">
        <f>VLOOKUP(Table28[[#This Row],[SKU]],Supplier_Products[[#All],[Supplier]:[SKU]],3,FALSE)</f>
        <v>VRWorld</v>
      </c>
      <c r="H675" t="str" cm="1">
        <f t="array" ref="H675">_xlfn.XLOOKUP(Table28[[#This Row],[SKU]],Supplier_Products[[#All],[SKU]],Supplier_Products[[#All],[Supplier]])</f>
        <v>VRWorld</v>
      </c>
    </row>
    <row r="676" spans="1:8" x14ac:dyDescent="0.3">
      <c r="A676">
        <v>1675</v>
      </c>
      <c r="B676">
        <v>672</v>
      </c>
      <c r="C676" t="s">
        <v>6</v>
      </c>
      <c r="D676" s="5">
        <v>45358</v>
      </c>
      <c r="E676" t="s">
        <v>12</v>
      </c>
      <c r="F676">
        <v>7</v>
      </c>
      <c r="G676" t="str">
        <f>VLOOKUP(Table28[[#This Row],[SKU]],Supplier_Products[[#All],[Supplier]:[SKU]],3,FALSE)</f>
        <v>TechCorp</v>
      </c>
      <c r="H676" t="str" cm="1">
        <f t="array" ref="H676">_xlfn.XLOOKUP(Table28[[#This Row],[SKU]],Supplier_Products[[#All],[SKU]],Supplier_Products[[#All],[Supplier]])</f>
        <v>TechCorp</v>
      </c>
    </row>
    <row r="677" spans="1:8" x14ac:dyDescent="0.3">
      <c r="A677">
        <v>1676</v>
      </c>
      <c r="B677">
        <v>530</v>
      </c>
      <c r="C677" t="s">
        <v>160</v>
      </c>
      <c r="D677" s="5">
        <v>45300</v>
      </c>
      <c r="E677" t="s">
        <v>13</v>
      </c>
      <c r="F677">
        <v>20</v>
      </c>
      <c r="G677" t="str">
        <f>VLOOKUP(Table28[[#This Row],[SKU]],Supplier_Products[[#All],[Supplier]:[SKU]],3,FALSE)</f>
        <v>SoundCo</v>
      </c>
      <c r="H677" t="str" cm="1">
        <f t="array" ref="H677">_xlfn.XLOOKUP(Table28[[#This Row],[SKU]],Supplier_Products[[#All],[SKU]],Supplier_Products[[#All],[Supplier]])</f>
        <v>SoundCo</v>
      </c>
    </row>
    <row r="678" spans="1:8" x14ac:dyDescent="0.3">
      <c r="A678">
        <v>1677</v>
      </c>
      <c r="B678">
        <v>634</v>
      </c>
      <c r="C678" t="s">
        <v>123</v>
      </c>
      <c r="D678" s="5">
        <v>45610</v>
      </c>
      <c r="E678" t="s">
        <v>189</v>
      </c>
      <c r="F678">
        <v>12</v>
      </c>
      <c r="G678" t="str">
        <f>VLOOKUP(Table28[[#This Row],[SKU]],Supplier_Products[[#All],[Supplier]:[SKU]],3,FALSE)</f>
        <v>VRWorld</v>
      </c>
      <c r="H678" t="str" cm="1">
        <f t="array" ref="H678">_xlfn.XLOOKUP(Table28[[#This Row],[SKU]],Supplier_Products[[#All],[SKU]],Supplier_Products[[#All],[Supplier]])</f>
        <v>VRWorld</v>
      </c>
    </row>
    <row r="679" spans="1:8" x14ac:dyDescent="0.3">
      <c r="A679">
        <v>1678</v>
      </c>
      <c r="B679">
        <v>598</v>
      </c>
      <c r="C679" t="s">
        <v>184</v>
      </c>
      <c r="D679" s="5">
        <v>45646</v>
      </c>
      <c r="E679" t="s">
        <v>189</v>
      </c>
      <c r="F679">
        <v>19</v>
      </c>
      <c r="G679" t="str">
        <f>VLOOKUP(Table28[[#This Row],[SKU]],Supplier_Products[[#All],[Supplier]:[SKU]],3,FALSE)</f>
        <v>VisionTech</v>
      </c>
      <c r="H679" t="str" cm="1">
        <f t="array" ref="H679">_xlfn.XLOOKUP(Table28[[#This Row],[SKU]],Supplier_Products[[#All],[SKU]],Supplier_Products[[#All],[Supplier]])</f>
        <v>VisionTech</v>
      </c>
    </row>
    <row r="680" spans="1:8" x14ac:dyDescent="0.3">
      <c r="A680">
        <v>1679</v>
      </c>
      <c r="B680">
        <v>613</v>
      </c>
      <c r="C680" t="s">
        <v>126</v>
      </c>
      <c r="D680" s="5">
        <v>45361</v>
      </c>
      <c r="E680" t="s">
        <v>191</v>
      </c>
      <c r="F680">
        <v>9</v>
      </c>
      <c r="G680" t="str">
        <f>VLOOKUP(Table28[[#This Row],[SKU]],Supplier_Products[[#All],[Supplier]:[SKU]],3,FALSE)</f>
        <v>FitTech</v>
      </c>
      <c r="H680" t="str" cm="1">
        <f t="array" ref="H680">_xlfn.XLOOKUP(Table28[[#This Row],[SKU]],Supplier_Products[[#All],[SKU]],Supplier_Products[[#All],[Supplier]])</f>
        <v>FitTech</v>
      </c>
    </row>
    <row r="681" spans="1:8" x14ac:dyDescent="0.3">
      <c r="A681">
        <v>1680</v>
      </c>
      <c r="B681">
        <v>649</v>
      </c>
      <c r="C681" t="s">
        <v>158</v>
      </c>
      <c r="D681" s="5">
        <v>45563</v>
      </c>
      <c r="E681" t="s">
        <v>186</v>
      </c>
      <c r="F681">
        <v>18</v>
      </c>
      <c r="G681" t="str">
        <f>VLOOKUP(Table28[[#This Row],[SKU]],Supplier_Products[[#All],[Supplier]:[SKU]],3,FALSE)</f>
        <v>ClickTech</v>
      </c>
      <c r="H681" t="str" cm="1">
        <f t="array" ref="H681">_xlfn.XLOOKUP(Table28[[#This Row],[SKU]],Supplier_Products[[#All],[SKU]],Supplier_Products[[#All],[Supplier]])</f>
        <v>ClickTech</v>
      </c>
    </row>
    <row r="682" spans="1:8" x14ac:dyDescent="0.3">
      <c r="A682">
        <v>1681</v>
      </c>
      <c r="B682">
        <v>737</v>
      </c>
      <c r="C682" t="s">
        <v>169</v>
      </c>
      <c r="D682" s="5">
        <v>45477</v>
      </c>
      <c r="E682" t="s">
        <v>14</v>
      </c>
      <c r="F682">
        <v>10</v>
      </c>
      <c r="G682" t="str">
        <f>VLOOKUP(Table28[[#This Row],[SKU]],Supplier_Products[[#All],[Supplier]:[SKU]],3,FALSE)</f>
        <v>SafeDrive</v>
      </c>
      <c r="H682" t="str" cm="1">
        <f t="array" ref="H682">_xlfn.XLOOKUP(Table28[[#This Row],[SKU]],Supplier_Products[[#All],[SKU]],Supplier_Products[[#All],[Supplier]])</f>
        <v>SafeDrive</v>
      </c>
    </row>
    <row r="683" spans="1:8" x14ac:dyDescent="0.3">
      <c r="A683">
        <v>1682</v>
      </c>
      <c r="B683">
        <v>517</v>
      </c>
      <c r="C683" t="s">
        <v>162</v>
      </c>
      <c r="D683" s="5">
        <v>45481</v>
      </c>
      <c r="E683" t="s">
        <v>189</v>
      </c>
      <c r="F683">
        <v>7</v>
      </c>
      <c r="G683" t="str">
        <f>VLOOKUP(Table28[[#This Row],[SKU]],Supplier_Products[[#All],[Supplier]:[SKU]],3,FALSE)</f>
        <v>AeroTech</v>
      </c>
      <c r="H683" t="str" cm="1">
        <f t="array" ref="H683">_xlfn.XLOOKUP(Table28[[#This Row],[SKU]],Supplier_Products[[#All],[SKU]],Supplier_Products[[#All],[Supplier]])</f>
        <v>AeroTech</v>
      </c>
    </row>
    <row r="684" spans="1:8" x14ac:dyDescent="0.3">
      <c r="A684">
        <v>1683</v>
      </c>
      <c r="B684">
        <v>663</v>
      </c>
      <c r="C684" t="s">
        <v>162</v>
      </c>
      <c r="D684" s="5">
        <v>45468</v>
      </c>
      <c r="E684" t="s">
        <v>189</v>
      </c>
      <c r="F684">
        <v>17</v>
      </c>
      <c r="G684" t="str">
        <f>VLOOKUP(Table28[[#This Row],[SKU]],Supplier_Products[[#All],[Supplier]:[SKU]],3,FALSE)</f>
        <v>AeroTech</v>
      </c>
      <c r="H684" t="str" cm="1">
        <f t="array" ref="H684">_xlfn.XLOOKUP(Table28[[#This Row],[SKU]],Supplier_Products[[#All],[SKU]],Supplier_Products[[#All],[Supplier]])</f>
        <v>AeroTech</v>
      </c>
    </row>
    <row r="685" spans="1:8" x14ac:dyDescent="0.3">
      <c r="A685">
        <v>1684</v>
      </c>
      <c r="B685">
        <v>601</v>
      </c>
      <c r="C685" t="s">
        <v>142</v>
      </c>
      <c r="D685" s="5">
        <v>45625</v>
      </c>
      <c r="E685" t="s">
        <v>186</v>
      </c>
      <c r="F685">
        <v>11</v>
      </c>
      <c r="G685" t="str">
        <f>VLOOKUP(Table28[[#This Row],[SKU]],Supplier_Products[[#All],[Supplier]:[SKU]],3,FALSE)</f>
        <v>GPUForce</v>
      </c>
      <c r="H685" t="str" cm="1">
        <f t="array" ref="H685">_xlfn.XLOOKUP(Table28[[#This Row],[SKU]],Supplier_Products[[#All],[SKU]],Supplier_Products[[#All],[Supplier]])</f>
        <v>GPUForce</v>
      </c>
    </row>
    <row r="686" spans="1:8" x14ac:dyDescent="0.3">
      <c r="A686">
        <v>1685</v>
      </c>
      <c r="B686">
        <v>717</v>
      </c>
      <c r="C686" t="s">
        <v>184</v>
      </c>
      <c r="D686" s="5">
        <v>45377</v>
      </c>
      <c r="E686" t="s">
        <v>189</v>
      </c>
      <c r="F686">
        <v>11</v>
      </c>
      <c r="G686" t="str">
        <f>VLOOKUP(Table28[[#This Row],[SKU]],Supplier_Products[[#All],[Supplier]:[SKU]],3,FALSE)</f>
        <v>VisionTech</v>
      </c>
      <c r="H686" t="str" cm="1">
        <f t="array" ref="H686">_xlfn.XLOOKUP(Table28[[#This Row],[SKU]],Supplier_Products[[#All],[SKU]],Supplier_Products[[#All],[Supplier]])</f>
        <v>VisionTech</v>
      </c>
    </row>
    <row r="687" spans="1:8" x14ac:dyDescent="0.3">
      <c r="A687">
        <v>1686</v>
      </c>
      <c r="B687">
        <v>527</v>
      </c>
      <c r="C687" t="s">
        <v>126</v>
      </c>
      <c r="D687" s="5">
        <v>45374</v>
      </c>
      <c r="E687" t="s">
        <v>191</v>
      </c>
      <c r="F687">
        <v>19</v>
      </c>
      <c r="G687" t="str">
        <f>VLOOKUP(Table28[[#This Row],[SKU]],Supplier_Products[[#All],[Supplier]:[SKU]],3,FALSE)</f>
        <v>FitTech</v>
      </c>
      <c r="H687" t="str" cm="1">
        <f t="array" ref="H687">_xlfn.XLOOKUP(Table28[[#This Row],[SKU]],Supplier_Products[[#All],[SKU]],Supplier_Products[[#All],[Supplier]])</f>
        <v>FitTech</v>
      </c>
    </row>
    <row r="688" spans="1:8" x14ac:dyDescent="0.3">
      <c r="A688">
        <v>1687</v>
      </c>
      <c r="B688">
        <v>536</v>
      </c>
      <c r="C688" t="s">
        <v>178</v>
      </c>
      <c r="D688" s="5">
        <v>45427</v>
      </c>
      <c r="E688" t="s">
        <v>13</v>
      </c>
      <c r="F688">
        <v>17</v>
      </c>
      <c r="G688" t="str">
        <f>VLOOKUP(Table28[[#This Row],[SKU]],Supplier_Products[[#All],[Supplier]:[SKU]],3,FALSE)</f>
        <v>DockIt</v>
      </c>
      <c r="H688" t="str" cm="1">
        <f t="array" ref="H688">_xlfn.XLOOKUP(Table28[[#This Row],[SKU]],Supplier_Products[[#All],[SKU]],Supplier_Products[[#All],[Supplier]])</f>
        <v>DockIt</v>
      </c>
    </row>
    <row r="689" spans="1:8" x14ac:dyDescent="0.3">
      <c r="A689">
        <v>1688</v>
      </c>
      <c r="B689">
        <v>658</v>
      </c>
      <c r="C689" t="s">
        <v>121</v>
      </c>
      <c r="D689" s="5">
        <v>45436</v>
      </c>
      <c r="E689" t="s">
        <v>186</v>
      </c>
      <c r="F689">
        <v>20</v>
      </c>
      <c r="G689" t="str">
        <f>VLOOKUP(Table28[[#This Row],[SKU]],Supplier_Products[[#All],[Supplier]:[SKU]],3,FALSE)</f>
        <v>ClickTech</v>
      </c>
      <c r="H689" t="str" cm="1">
        <f t="array" ref="H689">_xlfn.XLOOKUP(Table28[[#This Row],[SKU]],Supplier_Products[[#All],[SKU]],Supplier_Products[[#All],[Supplier]])</f>
        <v>ClickTech</v>
      </c>
    </row>
    <row r="690" spans="1:8" x14ac:dyDescent="0.3">
      <c r="A690">
        <v>1689</v>
      </c>
      <c r="B690">
        <v>506</v>
      </c>
      <c r="C690" t="s">
        <v>175</v>
      </c>
      <c r="D690" s="5">
        <v>45627</v>
      </c>
      <c r="E690" t="s">
        <v>186</v>
      </c>
      <c r="F690">
        <v>5</v>
      </c>
      <c r="G690" t="str">
        <f>VLOOKUP(Table28[[#This Row],[SKU]],Supplier_Products[[#All],[Supplier]:[SKU]],3,FALSE)</f>
        <v>DisplayPro</v>
      </c>
      <c r="H690" t="str" cm="1">
        <f t="array" ref="H690">_xlfn.XLOOKUP(Table28[[#This Row],[SKU]],Supplier_Products[[#All],[SKU]],Supplier_Products[[#All],[Supplier]])</f>
        <v>DisplayPro</v>
      </c>
    </row>
    <row r="691" spans="1:8" x14ac:dyDescent="0.3">
      <c r="A691">
        <v>1690</v>
      </c>
      <c r="B691">
        <v>519</v>
      </c>
      <c r="C691" t="s">
        <v>156</v>
      </c>
      <c r="D691" s="5">
        <v>45372</v>
      </c>
      <c r="E691" t="s">
        <v>186</v>
      </c>
      <c r="F691">
        <v>5</v>
      </c>
      <c r="G691" t="str">
        <f>VLOOKUP(Table28[[#This Row],[SKU]],Supplier_Products[[#All],[Supplier]:[SKU]],3,FALSE)</f>
        <v>ClickTech</v>
      </c>
      <c r="H691" t="str" cm="1">
        <f t="array" ref="H691">_xlfn.XLOOKUP(Table28[[#This Row],[SKU]],Supplier_Products[[#All],[SKU]],Supplier_Products[[#All],[Supplier]])</f>
        <v>ClickTech</v>
      </c>
    </row>
    <row r="692" spans="1:8" x14ac:dyDescent="0.3">
      <c r="A692">
        <v>1691</v>
      </c>
      <c r="B692">
        <v>567</v>
      </c>
      <c r="C692" t="s">
        <v>156</v>
      </c>
      <c r="D692" s="5">
        <v>45646</v>
      </c>
      <c r="E692" t="s">
        <v>186</v>
      </c>
      <c r="F692">
        <v>10</v>
      </c>
      <c r="G692" t="str">
        <f>VLOOKUP(Table28[[#This Row],[SKU]],Supplier_Products[[#All],[Supplier]:[SKU]],3,FALSE)</f>
        <v>ClickTech</v>
      </c>
      <c r="H692" t="str" cm="1">
        <f t="array" ref="H692">_xlfn.XLOOKUP(Table28[[#This Row],[SKU]],Supplier_Products[[#All],[SKU]],Supplier_Products[[#All],[Supplier]])</f>
        <v>ClickTech</v>
      </c>
    </row>
    <row r="693" spans="1:8" x14ac:dyDescent="0.3">
      <c r="A693">
        <v>1692</v>
      </c>
      <c r="B693">
        <v>640</v>
      </c>
      <c r="C693" t="s">
        <v>145</v>
      </c>
      <c r="D693" s="5">
        <v>45327</v>
      </c>
      <c r="E693" t="s">
        <v>190</v>
      </c>
      <c r="F693">
        <v>11</v>
      </c>
      <c r="G693" t="str">
        <f>VLOOKUP(Table28[[#This Row],[SKU]],Supplier_Products[[#All],[Supplier]:[SKU]],3,FALSE)</f>
        <v>BrightHome</v>
      </c>
      <c r="H693" t="str" cm="1">
        <f t="array" ref="H693">_xlfn.XLOOKUP(Table28[[#This Row],[SKU]],Supplier_Products[[#All],[SKU]],Supplier_Products[[#All],[Supplier]])</f>
        <v>BrightHome</v>
      </c>
    </row>
    <row r="694" spans="1:8" x14ac:dyDescent="0.3">
      <c r="A694">
        <v>1693</v>
      </c>
      <c r="B694">
        <v>689</v>
      </c>
      <c r="C694" t="s">
        <v>114</v>
      </c>
      <c r="D694" s="5">
        <v>45495</v>
      </c>
      <c r="E694" t="s">
        <v>189</v>
      </c>
      <c r="F694">
        <v>7</v>
      </c>
      <c r="G694" t="str">
        <f>VLOOKUP(Table28[[#This Row],[SKU]],Supplier_Products[[#All],[Supplier]:[SKU]],3,FALSE)</f>
        <v>VisionTech</v>
      </c>
      <c r="H694" t="str" cm="1">
        <f t="array" ref="H694">_xlfn.XLOOKUP(Table28[[#This Row],[SKU]],Supplier_Products[[#All],[SKU]],Supplier_Products[[#All],[Supplier]])</f>
        <v>VisionTech</v>
      </c>
    </row>
    <row r="695" spans="1:8" x14ac:dyDescent="0.3">
      <c r="A695">
        <v>1694</v>
      </c>
      <c r="B695">
        <v>699</v>
      </c>
      <c r="C695" t="s">
        <v>7</v>
      </c>
      <c r="D695" s="5">
        <v>45627</v>
      </c>
      <c r="E695" t="s">
        <v>13</v>
      </c>
      <c r="F695">
        <v>7</v>
      </c>
      <c r="G695" t="str">
        <f>VLOOKUP(Table28[[#This Row],[SKU]],Supplier_Products[[#All],[Supplier]:[SKU]],3,FALSE)</f>
        <v>SoundCo</v>
      </c>
      <c r="H695" t="str" cm="1">
        <f t="array" ref="H695">_xlfn.XLOOKUP(Table28[[#This Row],[SKU]],Supplier_Products[[#All],[SKU]],Supplier_Products[[#All],[Supplier]])</f>
        <v>SoundCo</v>
      </c>
    </row>
    <row r="696" spans="1:8" x14ac:dyDescent="0.3">
      <c r="A696">
        <v>1695</v>
      </c>
      <c r="B696">
        <v>512</v>
      </c>
      <c r="C696" t="s">
        <v>154</v>
      </c>
      <c r="D696" s="5">
        <v>45592</v>
      </c>
      <c r="E696" t="s">
        <v>187</v>
      </c>
      <c r="F696">
        <v>8</v>
      </c>
      <c r="G696" t="str">
        <f>VLOOKUP(Table28[[#This Row],[SKU]],Supplier_Products[[#All],[Supplier]:[SKU]],3,FALSE)</f>
        <v>ShutterPro</v>
      </c>
      <c r="H696" t="str" cm="1">
        <f t="array" ref="H696">_xlfn.XLOOKUP(Table28[[#This Row],[SKU]],Supplier_Products[[#All],[SKU]],Supplier_Products[[#All],[Supplier]])</f>
        <v>ShutterPro</v>
      </c>
    </row>
    <row r="697" spans="1:8" x14ac:dyDescent="0.3">
      <c r="A697">
        <v>1696</v>
      </c>
      <c r="B697">
        <v>723</v>
      </c>
      <c r="C697" t="s">
        <v>110</v>
      </c>
      <c r="D697" s="5">
        <v>45479</v>
      </c>
      <c r="E697" t="s">
        <v>188</v>
      </c>
      <c r="F697">
        <v>8</v>
      </c>
      <c r="G697" t="str">
        <f>VLOOKUP(Table28[[#This Row],[SKU]],Supplier_Products[[#All],[Supplier]:[SKU]],3,FALSE)</f>
        <v>PlayMax</v>
      </c>
      <c r="H697" t="str" cm="1">
        <f t="array" ref="H697">_xlfn.XLOOKUP(Table28[[#This Row],[SKU]],Supplier_Products[[#All],[SKU]],Supplier_Products[[#All],[Supplier]])</f>
        <v>PlayMax</v>
      </c>
    </row>
    <row r="698" spans="1:8" x14ac:dyDescent="0.3">
      <c r="A698">
        <v>1697</v>
      </c>
      <c r="B698">
        <v>612</v>
      </c>
      <c r="C698" t="s">
        <v>162</v>
      </c>
      <c r="D698" s="5">
        <v>45326</v>
      </c>
      <c r="E698" t="s">
        <v>189</v>
      </c>
      <c r="F698">
        <v>6</v>
      </c>
      <c r="G698" t="str">
        <f>VLOOKUP(Table28[[#This Row],[SKU]],Supplier_Products[[#All],[Supplier]:[SKU]],3,FALSE)</f>
        <v>AeroTech</v>
      </c>
      <c r="H698" t="str" cm="1">
        <f t="array" ref="H698">_xlfn.XLOOKUP(Table28[[#This Row],[SKU]],Supplier_Products[[#All],[SKU]],Supplier_Products[[#All],[Supplier]])</f>
        <v>AeroTech</v>
      </c>
    </row>
    <row r="699" spans="1:8" x14ac:dyDescent="0.3">
      <c r="A699">
        <v>1698</v>
      </c>
      <c r="B699">
        <v>527</v>
      </c>
      <c r="C699" t="s">
        <v>114</v>
      </c>
      <c r="D699" s="5">
        <v>45627</v>
      </c>
      <c r="E699" t="s">
        <v>189</v>
      </c>
      <c r="F699">
        <v>19</v>
      </c>
      <c r="G699" t="str">
        <f>VLOOKUP(Table28[[#This Row],[SKU]],Supplier_Products[[#All],[Supplier]:[SKU]],3,FALSE)</f>
        <v>VisionTech</v>
      </c>
      <c r="H699" t="str" cm="1">
        <f t="array" ref="H699">_xlfn.XLOOKUP(Table28[[#This Row],[SKU]],Supplier_Products[[#All],[SKU]],Supplier_Products[[#All],[Supplier]])</f>
        <v>VisionTech</v>
      </c>
    </row>
    <row r="700" spans="1:8" x14ac:dyDescent="0.3">
      <c r="A700">
        <v>1699</v>
      </c>
      <c r="B700">
        <v>644</v>
      </c>
      <c r="C700" t="s">
        <v>181</v>
      </c>
      <c r="D700" s="5">
        <v>45550</v>
      </c>
      <c r="E700" t="s">
        <v>12</v>
      </c>
      <c r="F700">
        <v>10</v>
      </c>
      <c r="G700" t="str">
        <f>VLOOKUP(Table28[[#This Row],[SKU]],Supplier_Products[[#All],[Supplier]:[SKU]],3,FALSE)</f>
        <v>PhotoFrame Inc.</v>
      </c>
      <c r="H700" t="str" cm="1">
        <f t="array" ref="H700">_xlfn.XLOOKUP(Table28[[#This Row],[SKU]],Supplier_Products[[#All],[SKU]],Supplier_Products[[#All],[Supplier]])</f>
        <v>PhotoFrame Inc.</v>
      </c>
    </row>
    <row r="701" spans="1:8" x14ac:dyDescent="0.3">
      <c r="A701">
        <v>1700</v>
      </c>
      <c r="B701">
        <v>748</v>
      </c>
      <c r="C701" t="s">
        <v>7</v>
      </c>
      <c r="D701" s="5">
        <v>45532</v>
      </c>
      <c r="E701" t="s">
        <v>13</v>
      </c>
      <c r="F701">
        <v>20</v>
      </c>
      <c r="G701" t="str">
        <f>VLOOKUP(Table28[[#This Row],[SKU]],Supplier_Products[[#All],[Supplier]:[SKU]],3,FALSE)</f>
        <v>SoundCo</v>
      </c>
      <c r="H701" t="str" cm="1">
        <f t="array" ref="H701">_xlfn.XLOOKUP(Table28[[#This Row],[SKU]],Supplier_Products[[#All],[SKU]],Supplier_Products[[#All],[Supplier]])</f>
        <v>SoundCo</v>
      </c>
    </row>
    <row r="702" spans="1:8" x14ac:dyDescent="0.3">
      <c r="A702">
        <v>1701</v>
      </c>
      <c r="B702">
        <v>524</v>
      </c>
      <c r="C702" t="s">
        <v>175</v>
      </c>
      <c r="D702" s="5">
        <v>45416</v>
      </c>
      <c r="E702" t="s">
        <v>186</v>
      </c>
      <c r="F702">
        <v>13</v>
      </c>
      <c r="G702" t="str">
        <f>VLOOKUP(Table28[[#This Row],[SKU]],Supplier_Products[[#All],[Supplier]:[SKU]],3,FALSE)</f>
        <v>DisplayPro</v>
      </c>
      <c r="H702" t="str" cm="1">
        <f t="array" ref="H702">_xlfn.XLOOKUP(Table28[[#This Row],[SKU]],Supplier_Products[[#All],[SKU]],Supplier_Products[[#All],[Supplier]])</f>
        <v>DisplayPro</v>
      </c>
    </row>
    <row r="703" spans="1:8" x14ac:dyDescent="0.3">
      <c r="A703">
        <v>1702</v>
      </c>
      <c r="B703">
        <v>699</v>
      </c>
      <c r="C703" t="s">
        <v>114</v>
      </c>
      <c r="D703" s="5">
        <v>45400</v>
      </c>
      <c r="E703" t="s">
        <v>189</v>
      </c>
      <c r="F703">
        <v>12</v>
      </c>
      <c r="G703" t="str">
        <f>VLOOKUP(Table28[[#This Row],[SKU]],Supplier_Products[[#All],[Supplier]:[SKU]],3,FALSE)</f>
        <v>VisionTech</v>
      </c>
      <c r="H703" t="str" cm="1">
        <f t="array" ref="H703">_xlfn.XLOOKUP(Table28[[#This Row],[SKU]],Supplier_Products[[#All],[SKU]],Supplier_Products[[#All],[Supplier]])</f>
        <v>VisionTech</v>
      </c>
    </row>
    <row r="704" spans="1:8" x14ac:dyDescent="0.3">
      <c r="A704">
        <v>1703</v>
      </c>
      <c r="B704">
        <v>739</v>
      </c>
      <c r="C704" t="s">
        <v>148</v>
      </c>
      <c r="D704" s="5">
        <v>45347</v>
      </c>
      <c r="E704" t="s">
        <v>12</v>
      </c>
      <c r="F704">
        <v>18</v>
      </c>
      <c r="G704" t="str">
        <f>VLOOKUP(Table28[[#This Row],[SKU]],Supplier_Products[[#All],[Supplier]:[SKU]],3,FALSE)</f>
        <v>ChargePro</v>
      </c>
      <c r="H704" t="str" cm="1">
        <f t="array" ref="H704">_xlfn.XLOOKUP(Table28[[#This Row],[SKU]],Supplier_Products[[#All],[SKU]],Supplier_Products[[#All],[Supplier]])</f>
        <v>ChargePro</v>
      </c>
    </row>
    <row r="705" spans="1:8" x14ac:dyDescent="0.3">
      <c r="A705">
        <v>1704</v>
      </c>
      <c r="B705">
        <v>612</v>
      </c>
      <c r="C705" t="s">
        <v>160</v>
      </c>
      <c r="D705" s="5">
        <v>45581</v>
      </c>
      <c r="E705" t="s">
        <v>13</v>
      </c>
      <c r="F705">
        <v>11</v>
      </c>
      <c r="G705" t="str">
        <f>VLOOKUP(Table28[[#This Row],[SKU]],Supplier_Products[[#All],[Supplier]:[SKU]],3,FALSE)</f>
        <v>SoundCo</v>
      </c>
      <c r="H705" t="str" cm="1">
        <f t="array" ref="H705">_xlfn.XLOOKUP(Table28[[#This Row],[SKU]],Supplier_Products[[#All],[SKU]],Supplier_Products[[#All],[Supplier]])</f>
        <v>SoundCo</v>
      </c>
    </row>
    <row r="706" spans="1:8" x14ac:dyDescent="0.3">
      <c r="A706">
        <v>1705</v>
      </c>
      <c r="B706">
        <v>632</v>
      </c>
      <c r="C706" t="s">
        <v>110</v>
      </c>
      <c r="D706" s="5">
        <v>45297</v>
      </c>
      <c r="E706" t="s">
        <v>188</v>
      </c>
      <c r="F706">
        <v>1</v>
      </c>
      <c r="G706" t="str">
        <f>VLOOKUP(Table28[[#This Row],[SKU]],Supplier_Products[[#All],[Supplier]:[SKU]],3,FALSE)</f>
        <v>PlayMax</v>
      </c>
      <c r="H706" t="str" cm="1">
        <f t="array" ref="H706">_xlfn.XLOOKUP(Table28[[#This Row],[SKU]],Supplier_Products[[#All],[SKU]],Supplier_Products[[#All],[Supplier]])</f>
        <v>PlayMax</v>
      </c>
    </row>
    <row r="707" spans="1:8" x14ac:dyDescent="0.3">
      <c r="A707">
        <v>1706</v>
      </c>
      <c r="B707">
        <v>535</v>
      </c>
      <c r="C707" t="s">
        <v>72</v>
      </c>
      <c r="D707" s="5">
        <v>45517</v>
      </c>
      <c r="E707" t="s">
        <v>187</v>
      </c>
      <c r="F707">
        <v>15</v>
      </c>
      <c r="G707" t="str">
        <f>VLOOKUP(Table28[[#This Row],[SKU]],Supplier_Products[[#All],[Supplier]:[SKU]],3,FALSE)</f>
        <v>SoundWave</v>
      </c>
      <c r="H707" t="str" cm="1">
        <f t="array" ref="H707">_xlfn.XLOOKUP(Table28[[#This Row],[SKU]],Supplier_Products[[#All],[SKU]],Supplier_Products[[#All],[Supplier]])</f>
        <v>SoundWave</v>
      </c>
    </row>
    <row r="708" spans="1:8" x14ac:dyDescent="0.3">
      <c r="A708">
        <v>1707</v>
      </c>
      <c r="B708">
        <v>532</v>
      </c>
      <c r="C708" t="s">
        <v>121</v>
      </c>
      <c r="D708" s="5">
        <v>45579</v>
      </c>
      <c r="E708" t="s">
        <v>186</v>
      </c>
      <c r="F708">
        <v>2</v>
      </c>
      <c r="G708" t="str">
        <f>VLOOKUP(Table28[[#This Row],[SKU]],Supplier_Products[[#All],[Supplier]:[SKU]],3,FALSE)</f>
        <v>ClickTech</v>
      </c>
      <c r="H708" t="str" cm="1">
        <f t="array" ref="H708">_xlfn.XLOOKUP(Table28[[#This Row],[SKU]],Supplier_Products[[#All],[SKU]],Supplier_Products[[#All],[Supplier]])</f>
        <v>ClickTech</v>
      </c>
    </row>
    <row r="709" spans="1:8" x14ac:dyDescent="0.3">
      <c r="A709">
        <v>1708</v>
      </c>
      <c r="B709">
        <v>518</v>
      </c>
      <c r="C709" t="s">
        <v>9</v>
      </c>
      <c r="D709" s="5">
        <v>45308</v>
      </c>
      <c r="E709" t="s">
        <v>14</v>
      </c>
      <c r="F709">
        <v>10</v>
      </c>
      <c r="G709" t="str">
        <f>VLOOKUP(Table28[[#This Row],[SKU]],Supplier_Products[[#All],[Supplier]:[SKU]],3,FALSE)</f>
        <v>CompuTech</v>
      </c>
      <c r="H709" t="str" cm="1">
        <f t="array" ref="H709">_xlfn.XLOOKUP(Table28[[#This Row],[SKU]],Supplier_Products[[#All],[SKU]],Supplier_Products[[#All],[Supplier]])</f>
        <v>CompuTech</v>
      </c>
    </row>
    <row r="710" spans="1:8" x14ac:dyDescent="0.3">
      <c r="A710">
        <v>1709</v>
      </c>
      <c r="B710">
        <v>575</v>
      </c>
      <c r="C710" t="s">
        <v>166</v>
      </c>
      <c r="D710" s="5">
        <v>45620</v>
      </c>
      <c r="E710" t="s">
        <v>191</v>
      </c>
      <c r="F710">
        <v>12</v>
      </c>
      <c r="G710" t="str">
        <f>VLOOKUP(Table28[[#This Row],[SKU]],Supplier_Products[[#All],[Supplier]:[SKU]],3,FALSE)</f>
        <v>BookTech</v>
      </c>
      <c r="H710" t="str" cm="1">
        <f t="array" ref="H710">_xlfn.XLOOKUP(Table28[[#This Row],[SKU]],Supplier_Products[[#All],[SKU]],Supplier_Products[[#All],[Supplier]])</f>
        <v>BookTech</v>
      </c>
    </row>
    <row r="711" spans="1:8" x14ac:dyDescent="0.3">
      <c r="A711">
        <v>1710</v>
      </c>
      <c r="B711">
        <v>566</v>
      </c>
      <c r="C711" t="s">
        <v>158</v>
      </c>
      <c r="D711" s="5">
        <v>45508</v>
      </c>
      <c r="E711" t="s">
        <v>186</v>
      </c>
      <c r="F711">
        <v>1</v>
      </c>
      <c r="G711" t="str">
        <f>VLOOKUP(Table28[[#This Row],[SKU]],Supplier_Products[[#All],[Supplier]:[SKU]],3,FALSE)</f>
        <v>ClickTech</v>
      </c>
      <c r="H711" t="str" cm="1">
        <f t="array" ref="H711">_xlfn.XLOOKUP(Table28[[#This Row],[SKU]],Supplier_Products[[#All],[SKU]],Supplier_Products[[#All],[Supplier]])</f>
        <v>ClickTech</v>
      </c>
    </row>
    <row r="712" spans="1:8" x14ac:dyDescent="0.3">
      <c r="A712">
        <v>1711</v>
      </c>
      <c r="B712">
        <v>673</v>
      </c>
      <c r="C712" t="s">
        <v>160</v>
      </c>
      <c r="D712" s="5">
        <v>45503</v>
      </c>
      <c r="E712" t="s">
        <v>13</v>
      </c>
      <c r="F712">
        <v>14</v>
      </c>
      <c r="G712" t="str">
        <f>VLOOKUP(Table28[[#This Row],[SKU]],Supplier_Products[[#All],[Supplier]:[SKU]],3,FALSE)</f>
        <v>SoundCo</v>
      </c>
      <c r="H712" t="str" cm="1">
        <f t="array" ref="H712">_xlfn.XLOOKUP(Table28[[#This Row],[SKU]],Supplier_Products[[#All],[SKU]],Supplier_Products[[#All],[Supplier]])</f>
        <v>SoundCo</v>
      </c>
    </row>
    <row r="713" spans="1:8" x14ac:dyDescent="0.3">
      <c r="A713">
        <v>1712</v>
      </c>
      <c r="B713">
        <v>539</v>
      </c>
      <c r="C713" t="s">
        <v>73</v>
      </c>
      <c r="D713" s="5">
        <v>45533</v>
      </c>
      <c r="E713" t="s">
        <v>186</v>
      </c>
      <c r="F713">
        <v>19</v>
      </c>
      <c r="G713" t="str">
        <f>VLOOKUP(Table28[[#This Row],[SKU]],Supplier_Products[[#All],[Supplier]:[SKU]],3,FALSE)</f>
        <v>ClickTech</v>
      </c>
      <c r="H713" t="str" cm="1">
        <f t="array" ref="H713">_xlfn.XLOOKUP(Table28[[#This Row],[SKU]],Supplier_Products[[#All],[SKU]],Supplier_Products[[#All],[Supplier]])</f>
        <v>ClickTech</v>
      </c>
    </row>
    <row r="714" spans="1:8" x14ac:dyDescent="0.3">
      <c r="A714">
        <v>1713</v>
      </c>
      <c r="B714">
        <v>562</v>
      </c>
      <c r="C714" t="s">
        <v>117</v>
      </c>
      <c r="D714" s="5">
        <v>45458</v>
      </c>
      <c r="E714" t="s">
        <v>190</v>
      </c>
      <c r="F714">
        <v>4</v>
      </c>
      <c r="G714" t="str">
        <f>VLOOKUP(Table28[[#This Row],[SKU]],Supplier_Products[[#All],[Supplier]:[SKU]],3,FALSE)</f>
        <v>DataSafe</v>
      </c>
      <c r="H714" t="str" cm="1">
        <f t="array" ref="H714">_xlfn.XLOOKUP(Table28[[#This Row],[SKU]],Supplier_Products[[#All],[SKU]],Supplier_Products[[#All],[Supplier]])</f>
        <v>DataSafe</v>
      </c>
    </row>
    <row r="715" spans="1:8" x14ac:dyDescent="0.3">
      <c r="A715">
        <v>1714</v>
      </c>
      <c r="B715">
        <v>654</v>
      </c>
      <c r="C715" t="s">
        <v>160</v>
      </c>
      <c r="D715" s="5">
        <v>45518</v>
      </c>
      <c r="E715" t="s">
        <v>13</v>
      </c>
      <c r="F715">
        <v>13</v>
      </c>
      <c r="G715" t="str">
        <f>VLOOKUP(Table28[[#This Row],[SKU]],Supplier_Products[[#All],[Supplier]:[SKU]],3,FALSE)</f>
        <v>SoundCo</v>
      </c>
      <c r="H715" t="str" cm="1">
        <f t="array" ref="H715">_xlfn.XLOOKUP(Table28[[#This Row],[SKU]],Supplier_Products[[#All],[SKU]],Supplier_Products[[#All],[Supplier]])</f>
        <v>SoundCo</v>
      </c>
    </row>
    <row r="716" spans="1:8" x14ac:dyDescent="0.3">
      <c r="A716">
        <v>1715</v>
      </c>
      <c r="B716">
        <v>527</v>
      </c>
      <c r="C716" t="s">
        <v>154</v>
      </c>
      <c r="D716" s="5">
        <v>45477</v>
      </c>
      <c r="E716" t="s">
        <v>187</v>
      </c>
      <c r="F716">
        <v>14</v>
      </c>
      <c r="G716" t="str">
        <f>VLOOKUP(Table28[[#This Row],[SKU]],Supplier_Products[[#All],[Supplier]:[SKU]],3,FALSE)</f>
        <v>ShutterPro</v>
      </c>
      <c r="H716" t="str" cm="1">
        <f t="array" ref="H716">_xlfn.XLOOKUP(Table28[[#This Row],[SKU]],Supplier_Products[[#All],[SKU]],Supplier_Products[[#All],[Supplier]])</f>
        <v>ShutterPro</v>
      </c>
    </row>
    <row r="717" spans="1:8" x14ac:dyDescent="0.3">
      <c r="A717">
        <v>1716</v>
      </c>
      <c r="B717">
        <v>740</v>
      </c>
      <c r="C717" t="s">
        <v>8</v>
      </c>
      <c r="D717" s="5">
        <v>45415</v>
      </c>
      <c r="E717" t="s">
        <v>15</v>
      </c>
      <c r="F717">
        <v>5</v>
      </c>
      <c r="G717" t="str">
        <f>VLOOKUP(Table28[[#This Row],[SKU]],Supplier_Products[[#All],[Supplier]:[SKU]],3,FALSE)</f>
        <v>Wearable Inc.</v>
      </c>
      <c r="H717" t="str" cm="1">
        <f t="array" ref="H717">_xlfn.XLOOKUP(Table28[[#This Row],[SKU]],Supplier_Products[[#All],[SKU]],Supplier_Products[[#All],[Supplier]])</f>
        <v>Wearable Inc.</v>
      </c>
    </row>
    <row r="718" spans="1:8" x14ac:dyDescent="0.3">
      <c r="A718">
        <v>1717</v>
      </c>
      <c r="B718">
        <v>515</v>
      </c>
      <c r="C718" t="s">
        <v>126</v>
      </c>
      <c r="D718" s="5">
        <v>45434</v>
      </c>
      <c r="E718" t="s">
        <v>191</v>
      </c>
      <c r="F718">
        <v>11</v>
      </c>
      <c r="G718" t="str">
        <f>VLOOKUP(Table28[[#This Row],[SKU]],Supplier_Products[[#All],[Supplier]:[SKU]],3,FALSE)</f>
        <v>FitTech</v>
      </c>
      <c r="H718" t="str" cm="1">
        <f t="array" ref="H718">_xlfn.XLOOKUP(Table28[[#This Row],[SKU]],Supplier_Products[[#All],[SKU]],Supplier_Products[[#All],[Supplier]])</f>
        <v>FitTech</v>
      </c>
    </row>
    <row r="719" spans="1:8" x14ac:dyDescent="0.3">
      <c r="A719">
        <v>1718</v>
      </c>
      <c r="B719">
        <v>615</v>
      </c>
      <c r="C719" t="s">
        <v>117</v>
      </c>
      <c r="D719" s="5">
        <v>45601</v>
      </c>
      <c r="E719" t="s">
        <v>190</v>
      </c>
      <c r="F719">
        <v>1</v>
      </c>
      <c r="G719" t="str">
        <f>VLOOKUP(Table28[[#This Row],[SKU]],Supplier_Products[[#All],[Supplier]:[SKU]],3,FALSE)</f>
        <v>DataSafe</v>
      </c>
      <c r="H719" t="str" cm="1">
        <f t="array" ref="H719">_xlfn.XLOOKUP(Table28[[#This Row],[SKU]],Supplier_Products[[#All],[SKU]],Supplier_Products[[#All],[Supplier]])</f>
        <v>DataSafe</v>
      </c>
    </row>
    <row r="720" spans="1:8" x14ac:dyDescent="0.3">
      <c r="A720">
        <v>1719</v>
      </c>
      <c r="B720">
        <v>710</v>
      </c>
      <c r="C720" t="s">
        <v>162</v>
      </c>
      <c r="D720" s="5">
        <v>45515</v>
      </c>
      <c r="E720" t="s">
        <v>189</v>
      </c>
      <c r="F720">
        <v>13</v>
      </c>
      <c r="G720" t="str">
        <f>VLOOKUP(Table28[[#This Row],[SKU]],Supplier_Products[[#All],[Supplier]:[SKU]],3,FALSE)</f>
        <v>AeroTech</v>
      </c>
      <c r="H720" t="str" cm="1">
        <f t="array" ref="H720">_xlfn.XLOOKUP(Table28[[#This Row],[SKU]],Supplier_Products[[#All],[SKU]],Supplier_Products[[#All],[Supplier]])</f>
        <v>AeroTech</v>
      </c>
    </row>
    <row r="721" spans="1:8" x14ac:dyDescent="0.3">
      <c r="A721">
        <v>1720</v>
      </c>
      <c r="B721">
        <v>647</v>
      </c>
      <c r="C721" t="s">
        <v>156</v>
      </c>
      <c r="D721" s="5">
        <v>45370</v>
      </c>
      <c r="E721" t="s">
        <v>186</v>
      </c>
      <c r="F721">
        <v>4</v>
      </c>
      <c r="G721" t="str">
        <f>VLOOKUP(Table28[[#This Row],[SKU]],Supplier_Products[[#All],[Supplier]:[SKU]],3,FALSE)</f>
        <v>ClickTech</v>
      </c>
      <c r="H721" t="str" cm="1">
        <f t="array" ref="H721">_xlfn.XLOOKUP(Table28[[#This Row],[SKU]],Supplier_Products[[#All],[SKU]],Supplier_Products[[#All],[Supplier]])</f>
        <v>ClickTech</v>
      </c>
    </row>
    <row r="722" spans="1:8" x14ac:dyDescent="0.3">
      <c r="A722">
        <v>1721</v>
      </c>
      <c r="B722">
        <v>648</v>
      </c>
      <c r="C722" t="s">
        <v>140</v>
      </c>
      <c r="D722" s="5">
        <v>45601</v>
      </c>
      <c r="E722" t="s">
        <v>187</v>
      </c>
      <c r="F722">
        <v>20</v>
      </c>
      <c r="G722" t="str">
        <f>VLOOKUP(Table28[[#This Row],[SKU]],Supplier_Products[[#All],[Supplier]:[SKU]],3,FALSE)</f>
        <v>SoundWave</v>
      </c>
      <c r="H722" t="str" cm="1">
        <f t="array" ref="H722">_xlfn.XLOOKUP(Table28[[#This Row],[SKU]],Supplier_Products[[#All],[SKU]],Supplier_Products[[#All],[Supplier]])</f>
        <v>SoundWave</v>
      </c>
    </row>
    <row r="723" spans="1:8" x14ac:dyDescent="0.3">
      <c r="A723">
        <v>1722</v>
      </c>
      <c r="B723">
        <v>625</v>
      </c>
      <c r="C723" t="s">
        <v>72</v>
      </c>
      <c r="D723" s="5">
        <v>45438</v>
      </c>
      <c r="E723" t="s">
        <v>187</v>
      </c>
      <c r="F723">
        <v>9</v>
      </c>
      <c r="G723" t="str">
        <f>VLOOKUP(Table28[[#This Row],[SKU]],Supplier_Products[[#All],[Supplier]:[SKU]],3,FALSE)</f>
        <v>SoundWave</v>
      </c>
      <c r="H723" t="str" cm="1">
        <f t="array" ref="H723">_xlfn.XLOOKUP(Table28[[#This Row],[SKU]],Supplier_Products[[#All],[SKU]],Supplier_Products[[#All],[Supplier]])</f>
        <v>SoundWave</v>
      </c>
    </row>
    <row r="724" spans="1:8" x14ac:dyDescent="0.3">
      <c r="A724">
        <v>1723</v>
      </c>
      <c r="B724">
        <v>715</v>
      </c>
      <c r="C724" t="s">
        <v>72</v>
      </c>
      <c r="D724" s="5">
        <v>45559</v>
      </c>
      <c r="E724" t="s">
        <v>187</v>
      </c>
      <c r="F724">
        <v>9</v>
      </c>
      <c r="G724" t="str">
        <f>VLOOKUP(Table28[[#This Row],[SKU]],Supplier_Products[[#All],[Supplier]:[SKU]],3,FALSE)</f>
        <v>SoundWave</v>
      </c>
      <c r="H724" t="str" cm="1">
        <f t="array" ref="H724">_xlfn.XLOOKUP(Table28[[#This Row],[SKU]],Supplier_Products[[#All],[SKU]],Supplier_Products[[#All],[Supplier]])</f>
        <v>SoundWave</v>
      </c>
    </row>
    <row r="725" spans="1:8" x14ac:dyDescent="0.3">
      <c r="A725">
        <v>1724</v>
      </c>
      <c r="B725">
        <v>522</v>
      </c>
      <c r="C725" t="s">
        <v>123</v>
      </c>
      <c r="D725" s="5">
        <v>45439</v>
      </c>
      <c r="E725" t="s">
        <v>189</v>
      </c>
      <c r="F725">
        <v>12</v>
      </c>
      <c r="G725" t="str">
        <f>VLOOKUP(Table28[[#This Row],[SKU]],Supplier_Products[[#All],[Supplier]:[SKU]],3,FALSE)</f>
        <v>VRWorld</v>
      </c>
      <c r="H725" t="str" cm="1">
        <f t="array" ref="H725">_xlfn.XLOOKUP(Table28[[#This Row],[SKU]],Supplier_Products[[#All],[SKU]],Supplier_Products[[#All],[Supplier]])</f>
        <v>VRWorld</v>
      </c>
    </row>
    <row r="726" spans="1:8" x14ac:dyDescent="0.3">
      <c r="A726">
        <v>1725</v>
      </c>
      <c r="B726">
        <v>714</v>
      </c>
      <c r="C726" t="s">
        <v>7</v>
      </c>
      <c r="D726" s="5">
        <v>45486</v>
      </c>
      <c r="E726" t="s">
        <v>13</v>
      </c>
      <c r="F726">
        <v>14</v>
      </c>
      <c r="G726" t="str">
        <f>VLOOKUP(Table28[[#This Row],[SKU]],Supplier_Products[[#All],[Supplier]:[SKU]],3,FALSE)</f>
        <v>SoundCo</v>
      </c>
      <c r="H726" t="str" cm="1">
        <f t="array" ref="H726">_xlfn.XLOOKUP(Table28[[#This Row],[SKU]],Supplier_Products[[#All],[SKU]],Supplier_Products[[#All],[Supplier]])</f>
        <v>SoundCo</v>
      </c>
    </row>
    <row r="727" spans="1:8" x14ac:dyDescent="0.3">
      <c r="A727">
        <v>1726</v>
      </c>
      <c r="B727">
        <v>720</v>
      </c>
      <c r="C727" t="s">
        <v>6</v>
      </c>
      <c r="D727" s="5">
        <v>45313</v>
      </c>
      <c r="E727" t="s">
        <v>12</v>
      </c>
      <c r="F727">
        <v>17</v>
      </c>
      <c r="G727" t="str">
        <f>VLOOKUP(Table28[[#This Row],[SKU]],Supplier_Products[[#All],[Supplier]:[SKU]],3,FALSE)</f>
        <v>TechCorp</v>
      </c>
      <c r="H727" t="str" cm="1">
        <f t="array" ref="H727">_xlfn.XLOOKUP(Table28[[#This Row],[SKU]],Supplier_Products[[#All],[SKU]],Supplier_Products[[#All],[Supplier]])</f>
        <v>TechCorp</v>
      </c>
    </row>
    <row r="728" spans="1:8" x14ac:dyDescent="0.3">
      <c r="A728">
        <v>1727</v>
      </c>
      <c r="B728">
        <v>582</v>
      </c>
      <c r="C728" t="s">
        <v>10</v>
      </c>
      <c r="D728" s="5">
        <v>45314</v>
      </c>
      <c r="E728" t="s">
        <v>13</v>
      </c>
      <c r="F728">
        <v>12</v>
      </c>
      <c r="G728" t="str">
        <f>VLOOKUP(Table28[[#This Row],[SKU]],Supplier_Products[[#All],[Supplier]:[SKU]],3,FALSE)</f>
        <v>TabletMakers</v>
      </c>
      <c r="H728" t="str" cm="1">
        <f t="array" ref="H728">_xlfn.XLOOKUP(Table28[[#This Row],[SKU]],Supplier_Products[[#All],[SKU]],Supplier_Products[[#All],[Supplier]])</f>
        <v>TabletMakers</v>
      </c>
    </row>
    <row r="729" spans="1:8" x14ac:dyDescent="0.3">
      <c r="A729">
        <v>1728</v>
      </c>
      <c r="B729">
        <v>663</v>
      </c>
      <c r="C729" t="s">
        <v>7</v>
      </c>
      <c r="D729" s="5">
        <v>45324</v>
      </c>
      <c r="E729" t="s">
        <v>13</v>
      </c>
      <c r="F729">
        <v>9</v>
      </c>
      <c r="G729" t="str">
        <f>VLOOKUP(Table28[[#This Row],[SKU]],Supplier_Products[[#All],[Supplier]:[SKU]],3,FALSE)</f>
        <v>SoundCo</v>
      </c>
      <c r="H729" t="str" cm="1">
        <f t="array" ref="H729">_xlfn.XLOOKUP(Table28[[#This Row],[SKU]],Supplier_Products[[#All],[SKU]],Supplier_Products[[#All],[Supplier]])</f>
        <v>SoundCo</v>
      </c>
    </row>
    <row r="730" spans="1:8" x14ac:dyDescent="0.3">
      <c r="A730">
        <v>1729</v>
      </c>
      <c r="B730">
        <v>621</v>
      </c>
      <c r="C730" t="s">
        <v>178</v>
      </c>
      <c r="D730" s="5">
        <v>45391</v>
      </c>
      <c r="E730" t="s">
        <v>13</v>
      </c>
      <c r="F730">
        <v>20</v>
      </c>
      <c r="G730" t="str">
        <f>VLOOKUP(Table28[[#This Row],[SKU]],Supplier_Products[[#All],[Supplier]:[SKU]],3,FALSE)</f>
        <v>DockIt</v>
      </c>
      <c r="H730" t="str" cm="1">
        <f t="array" ref="H730">_xlfn.XLOOKUP(Table28[[#This Row],[SKU]],Supplier_Products[[#All],[SKU]],Supplier_Products[[#All],[Supplier]])</f>
        <v>DockIt</v>
      </c>
    </row>
    <row r="731" spans="1:8" x14ac:dyDescent="0.3">
      <c r="A731">
        <v>1730</v>
      </c>
      <c r="B731">
        <v>508</v>
      </c>
      <c r="C731" t="s">
        <v>175</v>
      </c>
      <c r="D731" s="5">
        <v>45334</v>
      </c>
      <c r="E731" t="s">
        <v>186</v>
      </c>
      <c r="F731">
        <v>7</v>
      </c>
      <c r="G731" t="str">
        <f>VLOOKUP(Table28[[#This Row],[SKU]],Supplier_Products[[#All],[Supplier]:[SKU]],3,FALSE)</f>
        <v>DisplayPro</v>
      </c>
      <c r="H731" t="str" cm="1">
        <f t="array" ref="H731">_xlfn.XLOOKUP(Table28[[#This Row],[SKU]],Supplier_Products[[#All],[SKU]],Supplier_Products[[#All],[Supplier]])</f>
        <v>DisplayPro</v>
      </c>
    </row>
    <row r="732" spans="1:8" x14ac:dyDescent="0.3">
      <c r="A732">
        <v>1731</v>
      </c>
      <c r="B732">
        <v>526</v>
      </c>
      <c r="C732" t="s">
        <v>162</v>
      </c>
      <c r="D732" s="5">
        <v>45391</v>
      </c>
      <c r="E732" t="s">
        <v>189</v>
      </c>
      <c r="F732">
        <v>5</v>
      </c>
      <c r="G732" t="str">
        <f>VLOOKUP(Table28[[#This Row],[SKU]],Supplier_Products[[#All],[Supplier]:[SKU]],3,FALSE)</f>
        <v>AeroTech</v>
      </c>
      <c r="H732" t="str" cm="1">
        <f t="array" ref="H732">_xlfn.XLOOKUP(Table28[[#This Row],[SKU]],Supplier_Products[[#All],[SKU]],Supplier_Products[[#All],[Supplier]])</f>
        <v>AeroTech</v>
      </c>
    </row>
    <row r="733" spans="1:8" x14ac:dyDescent="0.3">
      <c r="A733">
        <v>1732</v>
      </c>
      <c r="B733">
        <v>563</v>
      </c>
      <c r="C733" t="s">
        <v>73</v>
      </c>
      <c r="D733" s="5">
        <v>45355</v>
      </c>
      <c r="E733" t="s">
        <v>186</v>
      </c>
      <c r="F733">
        <v>19</v>
      </c>
      <c r="G733" t="str">
        <f>VLOOKUP(Table28[[#This Row],[SKU]],Supplier_Products[[#All],[Supplier]:[SKU]],3,FALSE)</f>
        <v>ClickTech</v>
      </c>
      <c r="H733" t="str" cm="1">
        <f t="array" ref="H733">_xlfn.XLOOKUP(Table28[[#This Row],[SKU]],Supplier_Products[[#All],[SKU]],Supplier_Products[[#All],[Supplier]])</f>
        <v>ClickTech</v>
      </c>
    </row>
    <row r="734" spans="1:8" x14ac:dyDescent="0.3">
      <c r="A734">
        <v>1733</v>
      </c>
      <c r="B734">
        <v>681</v>
      </c>
      <c r="C734" t="s">
        <v>129</v>
      </c>
      <c r="D734" s="5">
        <v>45475</v>
      </c>
      <c r="E734" t="s">
        <v>12</v>
      </c>
      <c r="F734">
        <v>7</v>
      </c>
      <c r="G734" t="str">
        <f>VLOOKUP(Table28[[#This Row],[SKU]],Supplier_Products[[#All],[Supplier]:[SKU]],3,FALSE)</f>
        <v>StreamIt</v>
      </c>
      <c r="H734" t="str" cm="1">
        <f t="array" ref="H734">_xlfn.XLOOKUP(Table28[[#This Row],[SKU]],Supplier_Products[[#All],[SKU]],Supplier_Products[[#All],[Supplier]])</f>
        <v>StreamIt</v>
      </c>
    </row>
    <row r="735" spans="1:8" x14ac:dyDescent="0.3">
      <c r="A735">
        <v>1734</v>
      </c>
      <c r="B735">
        <v>543</v>
      </c>
      <c r="C735" t="s">
        <v>175</v>
      </c>
      <c r="D735" s="5">
        <v>45399</v>
      </c>
      <c r="E735" t="s">
        <v>186</v>
      </c>
      <c r="F735">
        <v>5</v>
      </c>
      <c r="G735" t="str">
        <f>VLOOKUP(Table28[[#This Row],[SKU]],Supplier_Products[[#All],[Supplier]:[SKU]],3,FALSE)</f>
        <v>DisplayPro</v>
      </c>
      <c r="H735" t="str" cm="1">
        <f t="array" ref="H735">_xlfn.XLOOKUP(Table28[[#This Row],[SKU]],Supplier_Products[[#All],[SKU]],Supplier_Products[[#All],[Supplier]])</f>
        <v>DisplayPro</v>
      </c>
    </row>
    <row r="736" spans="1:8" x14ac:dyDescent="0.3">
      <c r="A736">
        <v>1735</v>
      </c>
      <c r="B736">
        <v>575</v>
      </c>
      <c r="C736" t="s">
        <v>166</v>
      </c>
      <c r="D736" s="5">
        <v>45551</v>
      </c>
      <c r="E736" t="s">
        <v>191</v>
      </c>
      <c r="F736">
        <v>10</v>
      </c>
      <c r="G736" t="str">
        <f>VLOOKUP(Table28[[#This Row],[SKU]],Supplier_Products[[#All],[Supplier]:[SKU]],3,FALSE)</f>
        <v>BookTech</v>
      </c>
      <c r="H736" t="str" cm="1">
        <f t="array" ref="H736">_xlfn.XLOOKUP(Table28[[#This Row],[SKU]],Supplier_Products[[#All],[SKU]],Supplier_Products[[#All],[Supplier]])</f>
        <v>BookTech</v>
      </c>
    </row>
    <row r="737" spans="1:8" x14ac:dyDescent="0.3">
      <c r="A737">
        <v>1736</v>
      </c>
      <c r="B737">
        <v>559</v>
      </c>
      <c r="C737" t="s">
        <v>175</v>
      </c>
      <c r="D737" s="5">
        <v>45574</v>
      </c>
      <c r="E737" t="s">
        <v>186</v>
      </c>
      <c r="F737">
        <v>15</v>
      </c>
      <c r="G737" t="str">
        <f>VLOOKUP(Table28[[#This Row],[SKU]],Supplier_Products[[#All],[Supplier]:[SKU]],3,FALSE)</f>
        <v>DisplayPro</v>
      </c>
      <c r="H737" t="str" cm="1">
        <f t="array" ref="H737">_xlfn.XLOOKUP(Table28[[#This Row],[SKU]],Supplier_Products[[#All],[SKU]],Supplier_Products[[#All],[Supplier]])</f>
        <v>DisplayPro</v>
      </c>
    </row>
    <row r="738" spans="1:8" x14ac:dyDescent="0.3">
      <c r="A738">
        <v>1737</v>
      </c>
      <c r="B738">
        <v>689</v>
      </c>
      <c r="C738" t="s">
        <v>7</v>
      </c>
      <c r="D738" s="5">
        <v>45348</v>
      </c>
      <c r="E738" t="s">
        <v>13</v>
      </c>
      <c r="F738">
        <v>1</v>
      </c>
      <c r="G738" t="str">
        <f>VLOOKUP(Table28[[#This Row],[SKU]],Supplier_Products[[#All],[Supplier]:[SKU]],3,FALSE)</f>
        <v>SoundCo</v>
      </c>
      <c r="H738" t="str" cm="1">
        <f t="array" ref="H738">_xlfn.XLOOKUP(Table28[[#This Row],[SKU]],Supplier_Products[[#All],[SKU]],Supplier_Products[[#All],[Supplier]])</f>
        <v>SoundCo</v>
      </c>
    </row>
    <row r="739" spans="1:8" x14ac:dyDescent="0.3">
      <c r="A739">
        <v>1738</v>
      </c>
      <c r="B739">
        <v>594</v>
      </c>
      <c r="C739" t="s">
        <v>181</v>
      </c>
      <c r="D739" s="5">
        <v>45412</v>
      </c>
      <c r="E739" t="s">
        <v>12</v>
      </c>
      <c r="F739">
        <v>1</v>
      </c>
      <c r="G739" t="str">
        <f>VLOOKUP(Table28[[#This Row],[SKU]],Supplier_Products[[#All],[Supplier]:[SKU]],3,FALSE)</f>
        <v>PhotoFrame Inc.</v>
      </c>
      <c r="H739" t="str" cm="1">
        <f t="array" ref="H739">_xlfn.XLOOKUP(Table28[[#This Row],[SKU]],Supplier_Products[[#All],[SKU]],Supplier_Products[[#All],[Supplier]])</f>
        <v>PhotoFrame Inc.</v>
      </c>
    </row>
    <row r="740" spans="1:8" x14ac:dyDescent="0.3">
      <c r="A740">
        <v>1739</v>
      </c>
      <c r="B740">
        <v>532</v>
      </c>
      <c r="C740" t="s">
        <v>10</v>
      </c>
      <c r="D740" s="5">
        <v>45440</v>
      </c>
      <c r="E740" t="s">
        <v>13</v>
      </c>
      <c r="F740">
        <v>17</v>
      </c>
      <c r="G740" t="str">
        <f>VLOOKUP(Table28[[#This Row],[SKU]],Supplier_Products[[#All],[Supplier]:[SKU]],3,FALSE)</f>
        <v>TabletMakers</v>
      </c>
      <c r="H740" t="str" cm="1">
        <f t="array" ref="H740">_xlfn.XLOOKUP(Table28[[#This Row],[SKU]],Supplier_Products[[#All],[SKU]],Supplier_Products[[#All],[Supplier]])</f>
        <v>TabletMakers</v>
      </c>
    </row>
    <row r="741" spans="1:8" x14ac:dyDescent="0.3">
      <c r="A741">
        <v>1740</v>
      </c>
      <c r="B741">
        <v>533</v>
      </c>
      <c r="C741" t="s">
        <v>114</v>
      </c>
      <c r="D741" s="5">
        <v>45450</v>
      </c>
      <c r="E741" t="s">
        <v>189</v>
      </c>
      <c r="F741">
        <v>14</v>
      </c>
      <c r="G741" t="str">
        <f>VLOOKUP(Table28[[#This Row],[SKU]],Supplier_Products[[#All],[Supplier]:[SKU]],3,FALSE)</f>
        <v>VisionTech</v>
      </c>
      <c r="H741" t="str" cm="1">
        <f t="array" ref="H741">_xlfn.XLOOKUP(Table28[[#This Row],[SKU]],Supplier_Products[[#All],[SKU]],Supplier_Products[[#All],[Supplier]])</f>
        <v>VisionTech</v>
      </c>
    </row>
    <row r="742" spans="1:8" x14ac:dyDescent="0.3">
      <c r="A742">
        <v>1741</v>
      </c>
      <c r="B742">
        <v>594</v>
      </c>
      <c r="C742" t="s">
        <v>166</v>
      </c>
      <c r="D742" s="5">
        <v>45427</v>
      </c>
      <c r="E742" t="s">
        <v>191</v>
      </c>
      <c r="F742">
        <v>19</v>
      </c>
      <c r="G742" t="str">
        <f>VLOOKUP(Table28[[#This Row],[SKU]],Supplier_Products[[#All],[Supplier]:[SKU]],3,FALSE)</f>
        <v>BookTech</v>
      </c>
      <c r="H742" t="str" cm="1">
        <f t="array" ref="H742">_xlfn.XLOOKUP(Table28[[#This Row],[SKU]],Supplier_Products[[#All],[SKU]],Supplier_Products[[#All],[Supplier]])</f>
        <v>BookTech</v>
      </c>
    </row>
    <row r="743" spans="1:8" x14ac:dyDescent="0.3">
      <c r="A743">
        <v>1742</v>
      </c>
      <c r="B743">
        <v>690</v>
      </c>
      <c r="C743" t="s">
        <v>6</v>
      </c>
      <c r="D743" s="5">
        <v>45562</v>
      </c>
      <c r="E743" t="s">
        <v>12</v>
      </c>
      <c r="F743">
        <v>1</v>
      </c>
      <c r="G743" t="str">
        <f>VLOOKUP(Table28[[#This Row],[SKU]],Supplier_Products[[#All],[Supplier]:[SKU]],3,FALSE)</f>
        <v>TechCorp</v>
      </c>
      <c r="H743" t="str" cm="1">
        <f t="array" ref="H743">_xlfn.XLOOKUP(Table28[[#This Row],[SKU]],Supplier_Products[[#All],[SKU]],Supplier_Products[[#All],[Supplier]])</f>
        <v>TechCorp</v>
      </c>
    </row>
    <row r="744" spans="1:8" x14ac:dyDescent="0.3">
      <c r="A744">
        <v>1743</v>
      </c>
      <c r="B744">
        <v>541</v>
      </c>
      <c r="C744" t="s">
        <v>184</v>
      </c>
      <c r="D744" s="5">
        <v>45608</v>
      </c>
      <c r="E744" t="s">
        <v>189</v>
      </c>
      <c r="F744">
        <v>10</v>
      </c>
      <c r="G744" t="str">
        <f>VLOOKUP(Table28[[#This Row],[SKU]],Supplier_Products[[#All],[Supplier]:[SKU]],3,FALSE)</f>
        <v>VisionTech</v>
      </c>
      <c r="H744" t="str" cm="1">
        <f t="array" ref="H744">_xlfn.XLOOKUP(Table28[[#This Row],[SKU]],Supplier_Products[[#All],[SKU]],Supplier_Products[[#All],[Supplier]])</f>
        <v>VisionTech</v>
      </c>
    </row>
    <row r="745" spans="1:8" x14ac:dyDescent="0.3">
      <c r="A745">
        <v>1744</v>
      </c>
      <c r="B745">
        <v>504</v>
      </c>
      <c r="C745" t="s">
        <v>184</v>
      </c>
      <c r="D745" s="5">
        <v>45632</v>
      </c>
      <c r="E745" t="s">
        <v>189</v>
      </c>
      <c r="F745">
        <v>16</v>
      </c>
      <c r="G745" t="str">
        <f>VLOOKUP(Table28[[#This Row],[SKU]],Supplier_Products[[#All],[Supplier]:[SKU]],3,FALSE)</f>
        <v>VisionTech</v>
      </c>
      <c r="H745" t="str" cm="1">
        <f t="array" ref="H745">_xlfn.XLOOKUP(Table28[[#This Row],[SKU]],Supplier_Products[[#All],[SKU]],Supplier_Products[[#All],[Supplier]])</f>
        <v>VisionTech</v>
      </c>
    </row>
    <row r="746" spans="1:8" x14ac:dyDescent="0.3">
      <c r="A746">
        <v>1745</v>
      </c>
      <c r="B746">
        <v>638</v>
      </c>
      <c r="C746" t="s">
        <v>156</v>
      </c>
      <c r="D746" s="5">
        <v>45344</v>
      </c>
      <c r="E746" t="s">
        <v>186</v>
      </c>
      <c r="F746">
        <v>4</v>
      </c>
      <c r="G746" t="str">
        <f>VLOOKUP(Table28[[#This Row],[SKU]],Supplier_Products[[#All],[Supplier]:[SKU]],3,FALSE)</f>
        <v>ClickTech</v>
      </c>
      <c r="H746" t="str" cm="1">
        <f t="array" ref="H746">_xlfn.XLOOKUP(Table28[[#This Row],[SKU]],Supplier_Products[[#All],[SKU]],Supplier_Products[[#All],[Supplier]])</f>
        <v>ClickTech</v>
      </c>
    </row>
    <row r="747" spans="1:8" x14ac:dyDescent="0.3">
      <c r="A747">
        <v>1746</v>
      </c>
      <c r="B747">
        <v>687</v>
      </c>
      <c r="C747" t="s">
        <v>175</v>
      </c>
      <c r="D747" s="5">
        <v>45380</v>
      </c>
      <c r="E747" t="s">
        <v>186</v>
      </c>
      <c r="F747">
        <v>12</v>
      </c>
      <c r="G747" t="str">
        <f>VLOOKUP(Table28[[#This Row],[SKU]],Supplier_Products[[#All],[Supplier]:[SKU]],3,FALSE)</f>
        <v>DisplayPro</v>
      </c>
      <c r="H747" t="str" cm="1">
        <f t="array" ref="H747">_xlfn.XLOOKUP(Table28[[#This Row],[SKU]],Supplier_Products[[#All],[SKU]],Supplier_Products[[#All],[Supplier]])</f>
        <v>DisplayPro</v>
      </c>
    </row>
    <row r="748" spans="1:8" x14ac:dyDescent="0.3">
      <c r="A748">
        <v>1747</v>
      </c>
      <c r="B748">
        <v>514</v>
      </c>
      <c r="C748" t="s">
        <v>169</v>
      </c>
      <c r="D748" s="5">
        <v>45449</v>
      </c>
      <c r="E748" t="s">
        <v>14</v>
      </c>
      <c r="F748">
        <v>5</v>
      </c>
      <c r="G748" t="str">
        <f>VLOOKUP(Table28[[#This Row],[SKU]],Supplier_Products[[#All],[Supplier]:[SKU]],3,FALSE)</f>
        <v>SafeDrive</v>
      </c>
      <c r="H748" t="str" cm="1">
        <f t="array" ref="H748">_xlfn.XLOOKUP(Table28[[#This Row],[SKU]],Supplier_Products[[#All],[SKU]],Supplier_Products[[#All],[Supplier]])</f>
        <v>SafeDrive</v>
      </c>
    </row>
    <row r="749" spans="1:8" x14ac:dyDescent="0.3">
      <c r="A749">
        <v>1748</v>
      </c>
      <c r="B749">
        <v>536</v>
      </c>
      <c r="C749" t="s">
        <v>10</v>
      </c>
      <c r="D749" s="5">
        <v>45474</v>
      </c>
      <c r="E749" t="s">
        <v>13</v>
      </c>
      <c r="F749">
        <v>18</v>
      </c>
      <c r="G749" t="str">
        <f>VLOOKUP(Table28[[#This Row],[SKU]],Supplier_Products[[#All],[Supplier]:[SKU]],3,FALSE)</f>
        <v>TabletMakers</v>
      </c>
      <c r="H749" t="str" cm="1">
        <f t="array" ref="H749">_xlfn.XLOOKUP(Table28[[#This Row],[SKU]],Supplier_Products[[#All],[SKU]],Supplier_Products[[#All],[Supplier]])</f>
        <v>TabletMakers</v>
      </c>
    </row>
    <row r="750" spans="1:8" x14ac:dyDescent="0.3">
      <c r="A750">
        <v>1749</v>
      </c>
      <c r="B750">
        <v>616</v>
      </c>
      <c r="C750" t="s">
        <v>10</v>
      </c>
      <c r="D750" s="5">
        <v>45341</v>
      </c>
      <c r="E750" t="s">
        <v>13</v>
      </c>
      <c r="F750">
        <v>18</v>
      </c>
      <c r="G750" t="str">
        <f>VLOOKUP(Table28[[#This Row],[SKU]],Supplier_Products[[#All],[Supplier]:[SKU]],3,FALSE)</f>
        <v>TabletMakers</v>
      </c>
      <c r="H750" t="str" cm="1">
        <f t="array" ref="H750">_xlfn.XLOOKUP(Table28[[#This Row],[SKU]],Supplier_Products[[#All],[SKU]],Supplier_Products[[#All],[Supplier]])</f>
        <v>TabletMakers</v>
      </c>
    </row>
    <row r="751" spans="1:8" x14ac:dyDescent="0.3">
      <c r="A751">
        <v>1750</v>
      </c>
      <c r="B751">
        <v>529</v>
      </c>
      <c r="C751" t="s">
        <v>9</v>
      </c>
      <c r="D751" s="5">
        <v>45615</v>
      </c>
      <c r="E751" t="s">
        <v>14</v>
      </c>
      <c r="F751">
        <v>12</v>
      </c>
      <c r="G751" t="str">
        <f>VLOOKUP(Table28[[#This Row],[SKU]],Supplier_Products[[#All],[Supplier]:[SKU]],3,FALSE)</f>
        <v>CompuTech</v>
      </c>
      <c r="H751" t="str" cm="1">
        <f t="array" ref="H751">_xlfn.XLOOKUP(Table28[[#This Row],[SKU]],Supplier_Products[[#All],[SKU]],Supplier_Products[[#All],[Supplier]])</f>
        <v>CompuTech</v>
      </c>
    </row>
    <row r="752" spans="1:8" x14ac:dyDescent="0.3">
      <c r="A752">
        <v>1751</v>
      </c>
      <c r="B752">
        <v>632</v>
      </c>
      <c r="C752" t="s">
        <v>133</v>
      </c>
      <c r="D752" s="5">
        <v>45482</v>
      </c>
      <c r="E752" t="s">
        <v>14</v>
      </c>
      <c r="F752">
        <v>2</v>
      </c>
      <c r="G752" t="str">
        <f>VLOOKUP(Table28[[#This Row],[SKU]],Supplier_Products[[#All],[Supplier]:[SKU]],3,FALSE)</f>
        <v>SafeTech</v>
      </c>
      <c r="H752" t="str" cm="1">
        <f t="array" ref="H752">_xlfn.XLOOKUP(Table28[[#This Row],[SKU]],Supplier_Products[[#All],[SKU]],Supplier_Products[[#All],[Supplier]])</f>
        <v>SafeTech</v>
      </c>
    </row>
    <row r="753" spans="1:8" x14ac:dyDescent="0.3">
      <c r="A753">
        <v>1752</v>
      </c>
      <c r="B753">
        <v>521</v>
      </c>
      <c r="C753" t="s">
        <v>150</v>
      </c>
      <c r="D753" s="5">
        <v>45646</v>
      </c>
      <c r="E753" t="s">
        <v>187</v>
      </c>
      <c r="F753">
        <v>17</v>
      </c>
      <c r="G753" t="str">
        <f>VLOOKUP(Table28[[#This Row],[SKU]],Supplier_Products[[#All],[Supplier]:[SKU]],3,FALSE)</f>
        <v>ShutterPro</v>
      </c>
      <c r="H753" t="str" cm="1">
        <f t="array" ref="H753">_xlfn.XLOOKUP(Table28[[#This Row],[SKU]],Supplier_Products[[#All],[SKU]],Supplier_Products[[#All],[Supplier]])</f>
        <v>ShutterPro</v>
      </c>
    </row>
    <row r="754" spans="1:8" x14ac:dyDescent="0.3">
      <c r="A754">
        <v>1753</v>
      </c>
      <c r="B754">
        <v>619</v>
      </c>
      <c r="C754" t="s">
        <v>184</v>
      </c>
      <c r="D754" s="5">
        <v>45454</v>
      </c>
      <c r="E754" t="s">
        <v>189</v>
      </c>
      <c r="F754">
        <v>13</v>
      </c>
      <c r="G754" t="str">
        <f>VLOOKUP(Table28[[#This Row],[SKU]],Supplier_Products[[#All],[Supplier]:[SKU]],3,FALSE)</f>
        <v>VisionTech</v>
      </c>
      <c r="H754" t="str" cm="1">
        <f t="array" ref="H754">_xlfn.XLOOKUP(Table28[[#This Row],[SKU]],Supplier_Products[[#All],[SKU]],Supplier_Products[[#All],[Supplier]])</f>
        <v>VisionTech</v>
      </c>
    </row>
    <row r="755" spans="1:8" x14ac:dyDescent="0.3">
      <c r="A755">
        <v>1754</v>
      </c>
      <c r="B755">
        <v>588</v>
      </c>
      <c r="C755" t="s">
        <v>156</v>
      </c>
      <c r="D755" s="5">
        <v>45393</v>
      </c>
      <c r="E755" t="s">
        <v>186</v>
      </c>
      <c r="F755">
        <v>10</v>
      </c>
      <c r="G755" t="str">
        <f>VLOOKUP(Table28[[#This Row],[SKU]],Supplier_Products[[#All],[Supplier]:[SKU]],3,FALSE)</f>
        <v>ClickTech</v>
      </c>
      <c r="H755" t="str" cm="1">
        <f t="array" ref="H755">_xlfn.XLOOKUP(Table28[[#This Row],[SKU]],Supplier_Products[[#All],[SKU]],Supplier_Products[[#All],[Supplier]])</f>
        <v>ClickTech</v>
      </c>
    </row>
    <row r="756" spans="1:8" x14ac:dyDescent="0.3">
      <c r="A756">
        <v>1755</v>
      </c>
      <c r="B756">
        <v>743</v>
      </c>
      <c r="C756" t="s">
        <v>166</v>
      </c>
      <c r="D756" s="5">
        <v>45403</v>
      </c>
      <c r="E756" t="s">
        <v>191</v>
      </c>
      <c r="F756">
        <v>7</v>
      </c>
      <c r="G756" t="str">
        <f>VLOOKUP(Table28[[#This Row],[SKU]],Supplier_Products[[#All],[Supplier]:[SKU]],3,FALSE)</f>
        <v>BookTech</v>
      </c>
      <c r="H756" t="str" cm="1">
        <f t="array" ref="H756">_xlfn.XLOOKUP(Table28[[#This Row],[SKU]],Supplier_Products[[#All],[SKU]],Supplier_Products[[#All],[Supplier]])</f>
        <v>BookTech</v>
      </c>
    </row>
    <row r="757" spans="1:8" x14ac:dyDescent="0.3">
      <c r="A757">
        <v>1756</v>
      </c>
      <c r="B757">
        <v>668</v>
      </c>
      <c r="C757" t="s">
        <v>117</v>
      </c>
      <c r="D757" s="5">
        <v>45320</v>
      </c>
      <c r="E757" t="s">
        <v>190</v>
      </c>
      <c r="F757">
        <v>11</v>
      </c>
      <c r="G757" t="str">
        <f>VLOOKUP(Table28[[#This Row],[SKU]],Supplier_Products[[#All],[Supplier]:[SKU]],3,FALSE)</f>
        <v>DataSafe</v>
      </c>
      <c r="H757" t="str" cm="1">
        <f t="array" ref="H757">_xlfn.XLOOKUP(Table28[[#This Row],[SKU]],Supplier_Products[[#All],[SKU]],Supplier_Products[[#All],[Supplier]])</f>
        <v>DataSafe</v>
      </c>
    </row>
    <row r="758" spans="1:8" x14ac:dyDescent="0.3">
      <c r="A758">
        <v>1757</v>
      </c>
      <c r="B758">
        <v>740</v>
      </c>
      <c r="C758" t="s">
        <v>72</v>
      </c>
      <c r="D758" s="5">
        <v>45521</v>
      </c>
      <c r="E758" t="s">
        <v>187</v>
      </c>
      <c r="F758">
        <v>1</v>
      </c>
      <c r="G758" t="str">
        <f>VLOOKUP(Table28[[#This Row],[SKU]],Supplier_Products[[#All],[Supplier]:[SKU]],3,FALSE)</f>
        <v>SoundWave</v>
      </c>
      <c r="H758" t="str" cm="1">
        <f t="array" ref="H758">_xlfn.XLOOKUP(Table28[[#This Row],[SKU]],Supplier_Products[[#All],[SKU]],Supplier_Products[[#All],[Supplier]])</f>
        <v>SoundWave</v>
      </c>
    </row>
    <row r="759" spans="1:8" x14ac:dyDescent="0.3">
      <c r="A759">
        <v>1758</v>
      </c>
      <c r="B759">
        <v>629</v>
      </c>
      <c r="C759" t="s">
        <v>169</v>
      </c>
      <c r="D759" s="5">
        <v>45426</v>
      </c>
      <c r="E759" t="s">
        <v>14</v>
      </c>
      <c r="F759">
        <v>11</v>
      </c>
      <c r="G759" t="str">
        <f>VLOOKUP(Table28[[#This Row],[SKU]],Supplier_Products[[#All],[Supplier]:[SKU]],3,FALSE)</f>
        <v>SafeDrive</v>
      </c>
      <c r="H759" t="str" cm="1">
        <f t="array" ref="H759">_xlfn.XLOOKUP(Table28[[#This Row],[SKU]],Supplier_Products[[#All],[SKU]],Supplier_Products[[#All],[Supplier]])</f>
        <v>SafeDrive</v>
      </c>
    </row>
    <row r="760" spans="1:8" x14ac:dyDescent="0.3">
      <c r="A760">
        <v>1759</v>
      </c>
      <c r="B760">
        <v>564</v>
      </c>
      <c r="C760" t="s">
        <v>169</v>
      </c>
      <c r="D760" s="5">
        <v>45639</v>
      </c>
      <c r="E760" t="s">
        <v>14</v>
      </c>
      <c r="F760">
        <v>15</v>
      </c>
      <c r="G760" t="str">
        <f>VLOOKUP(Table28[[#This Row],[SKU]],Supplier_Products[[#All],[Supplier]:[SKU]],3,FALSE)</f>
        <v>SafeDrive</v>
      </c>
      <c r="H760" t="str" cm="1">
        <f t="array" ref="H760">_xlfn.XLOOKUP(Table28[[#This Row],[SKU]],Supplier_Products[[#All],[SKU]],Supplier_Products[[#All],[Supplier]])</f>
        <v>SafeDrive</v>
      </c>
    </row>
    <row r="761" spans="1:8" x14ac:dyDescent="0.3">
      <c r="A761">
        <v>1760</v>
      </c>
      <c r="B761">
        <v>674</v>
      </c>
      <c r="C761" t="s">
        <v>169</v>
      </c>
      <c r="D761" s="5">
        <v>45523</v>
      </c>
      <c r="E761" t="s">
        <v>14</v>
      </c>
      <c r="F761">
        <v>16</v>
      </c>
      <c r="G761" t="str">
        <f>VLOOKUP(Table28[[#This Row],[SKU]],Supplier_Products[[#All],[Supplier]:[SKU]],3,FALSE)</f>
        <v>SafeDrive</v>
      </c>
      <c r="H761" t="str" cm="1">
        <f t="array" ref="H761">_xlfn.XLOOKUP(Table28[[#This Row],[SKU]],Supplier_Products[[#All],[SKU]],Supplier_Products[[#All],[Supplier]])</f>
        <v>SafeDrive</v>
      </c>
    </row>
    <row r="762" spans="1:8" x14ac:dyDescent="0.3">
      <c r="A762">
        <v>1761</v>
      </c>
      <c r="B762">
        <v>727</v>
      </c>
      <c r="C762" t="s">
        <v>148</v>
      </c>
      <c r="D762" s="5">
        <v>45512</v>
      </c>
      <c r="E762" t="s">
        <v>12</v>
      </c>
      <c r="F762">
        <v>8</v>
      </c>
      <c r="G762" t="str">
        <f>VLOOKUP(Table28[[#This Row],[SKU]],Supplier_Products[[#All],[Supplier]:[SKU]],3,FALSE)</f>
        <v>ChargePro</v>
      </c>
      <c r="H762" t="str" cm="1">
        <f t="array" ref="H762">_xlfn.XLOOKUP(Table28[[#This Row],[SKU]],Supplier_Products[[#All],[SKU]],Supplier_Products[[#All],[Supplier]])</f>
        <v>ChargePro</v>
      </c>
    </row>
    <row r="763" spans="1:8" x14ac:dyDescent="0.3">
      <c r="A763">
        <v>1762</v>
      </c>
      <c r="B763">
        <v>560</v>
      </c>
      <c r="C763" t="s">
        <v>166</v>
      </c>
      <c r="D763" s="5">
        <v>45423</v>
      </c>
      <c r="E763" t="s">
        <v>191</v>
      </c>
      <c r="F763">
        <v>19</v>
      </c>
      <c r="G763" t="str">
        <f>VLOOKUP(Table28[[#This Row],[SKU]],Supplier_Products[[#All],[Supplier]:[SKU]],3,FALSE)</f>
        <v>BookTech</v>
      </c>
      <c r="H763" t="str" cm="1">
        <f t="array" ref="H763">_xlfn.XLOOKUP(Table28[[#This Row],[SKU]],Supplier_Products[[#All],[SKU]],Supplier_Products[[#All],[Supplier]])</f>
        <v>BookTech</v>
      </c>
    </row>
    <row r="764" spans="1:8" x14ac:dyDescent="0.3">
      <c r="A764">
        <v>1763</v>
      </c>
      <c r="B764">
        <v>560</v>
      </c>
      <c r="C764" t="s">
        <v>9</v>
      </c>
      <c r="D764" s="5">
        <v>45415</v>
      </c>
      <c r="E764" t="s">
        <v>14</v>
      </c>
      <c r="F764">
        <v>6</v>
      </c>
      <c r="G764" t="str">
        <f>VLOOKUP(Table28[[#This Row],[SKU]],Supplier_Products[[#All],[Supplier]:[SKU]],3,FALSE)</f>
        <v>CompuTech</v>
      </c>
      <c r="H764" t="str" cm="1">
        <f t="array" ref="H764">_xlfn.XLOOKUP(Table28[[#This Row],[SKU]],Supplier_Products[[#All],[SKU]],Supplier_Products[[#All],[Supplier]])</f>
        <v>CompuTech</v>
      </c>
    </row>
    <row r="765" spans="1:8" x14ac:dyDescent="0.3">
      <c r="A765">
        <v>1764</v>
      </c>
      <c r="B765">
        <v>620</v>
      </c>
      <c r="C765" t="s">
        <v>114</v>
      </c>
      <c r="D765" s="5">
        <v>45612</v>
      </c>
      <c r="E765" t="s">
        <v>189</v>
      </c>
      <c r="F765">
        <v>7</v>
      </c>
      <c r="G765" t="str">
        <f>VLOOKUP(Table28[[#This Row],[SKU]],Supplier_Products[[#All],[Supplier]:[SKU]],3,FALSE)</f>
        <v>VisionTech</v>
      </c>
      <c r="H765" t="str" cm="1">
        <f t="array" ref="H765">_xlfn.XLOOKUP(Table28[[#This Row],[SKU]],Supplier_Products[[#All],[SKU]],Supplier_Products[[#All],[Supplier]])</f>
        <v>VisionTech</v>
      </c>
    </row>
    <row r="766" spans="1:8" x14ac:dyDescent="0.3">
      <c r="A766">
        <v>1765</v>
      </c>
      <c r="B766">
        <v>507</v>
      </c>
      <c r="C766" t="s">
        <v>154</v>
      </c>
      <c r="D766" s="5">
        <v>45556</v>
      </c>
      <c r="E766" t="s">
        <v>187</v>
      </c>
      <c r="F766">
        <v>16</v>
      </c>
      <c r="G766" t="str">
        <f>VLOOKUP(Table28[[#This Row],[SKU]],Supplier_Products[[#All],[Supplier]:[SKU]],3,FALSE)</f>
        <v>ShutterPro</v>
      </c>
      <c r="H766" t="str" cm="1">
        <f t="array" ref="H766">_xlfn.XLOOKUP(Table28[[#This Row],[SKU]],Supplier_Products[[#All],[SKU]],Supplier_Products[[#All],[Supplier]])</f>
        <v>ShutterPro</v>
      </c>
    </row>
    <row r="767" spans="1:8" x14ac:dyDescent="0.3">
      <c r="A767">
        <v>1766</v>
      </c>
      <c r="B767">
        <v>658</v>
      </c>
      <c r="C767" t="s">
        <v>158</v>
      </c>
      <c r="D767" s="5">
        <v>45416</v>
      </c>
      <c r="E767" t="s">
        <v>186</v>
      </c>
      <c r="F767">
        <v>9</v>
      </c>
      <c r="G767" t="str">
        <f>VLOOKUP(Table28[[#This Row],[SKU]],Supplier_Products[[#All],[Supplier]:[SKU]],3,FALSE)</f>
        <v>ClickTech</v>
      </c>
      <c r="H767" t="str" cm="1">
        <f t="array" ref="H767">_xlfn.XLOOKUP(Table28[[#This Row],[SKU]],Supplier_Products[[#All],[SKU]],Supplier_Products[[#All],[Supplier]])</f>
        <v>ClickTech</v>
      </c>
    </row>
    <row r="768" spans="1:8" x14ac:dyDescent="0.3">
      <c r="A768">
        <v>1767</v>
      </c>
      <c r="B768">
        <v>636</v>
      </c>
      <c r="C768" t="s">
        <v>142</v>
      </c>
      <c r="D768" s="5">
        <v>45653</v>
      </c>
      <c r="E768" t="s">
        <v>186</v>
      </c>
      <c r="F768">
        <v>8</v>
      </c>
      <c r="G768" t="str">
        <f>VLOOKUP(Table28[[#This Row],[SKU]],Supplier_Products[[#All],[Supplier]:[SKU]],3,FALSE)</f>
        <v>GPUForce</v>
      </c>
      <c r="H768" t="str" cm="1">
        <f t="array" ref="H768">_xlfn.XLOOKUP(Table28[[#This Row],[SKU]],Supplier_Products[[#All],[SKU]],Supplier_Products[[#All],[Supplier]])</f>
        <v>GPUForce</v>
      </c>
    </row>
    <row r="769" spans="1:8" x14ac:dyDescent="0.3">
      <c r="A769">
        <v>1768</v>
      </c>
      <c r="B769">
        <v>740</v>
      </c>
      <c r="C769" t="s">
        <v>154</v>
      </c>
      <c r="D769" s="5">
        <v>45509</v>
      </c>
      <c r="E769" t="s">
        <v>187</v>
      </c>
      <c r="F769">
        <v>14</v>
      </c>
      <c r="G769" t="str">
        <f>VLOOKUP(Table28[[#This Row],[SKU]],Supplier_Products[[#All],[Supplier]:[SKU]],3,FALSE)</f>
        <v>ShutterPro</v>
      </c>
      <c r="H769" t="str" cm="1">
        <f t="array" ref="H769">_xlfn.XLOOKUP(Table28[[#This Row],[SKU]],Supplier_Products[[#All],[SKU]],Supplier_Products[[#All],[Supplier]])</f>
        <v>ShutterPro</v>
      </c>
    </row>
    <row r="770" spans="1:8" x14ac:dyDescent="0.3">
      <c r="A770">
        <v>1769</v>
      </c>
      <c r="B770">
        <v>550</v>
      </c>
      <c r="C770" t="s">
        <v>184</v>
      </c>
      <c r="D770" s="5">
        <v>45486</v>
      </c>
      <c r="E770" t="s">
        <v>189</v>
      </c>
      <c r="F770">
        <v>13</v>
      </c>
      <c r="G770" t="str">
        <f>VLOOKUP(Table28[[#This Row],[SKU]],Supplier_Products[[#All],[Supplier]:[SKU]],3,FALSE)</f>
        <v>VisionTech</v>
      </c>
      <c r="H770" t="str" cm="1">
        <f t="array" ref="H770">_xlfn.XLOOKUP(Table28[[#This Row],[SKU]],Supplier_Products[[#All],[SKU]],Supplier_Products[[#All],[Supplier]])</f>
        <v>VisionTech</v>
      </c>
    </row>
    <row r="771" spans="1:8" x14ac:dyDescent="0.3">
      <c r="A771">
        <v>1770</v>
      </c>
      <c r="B771">
        <v>628</v>
      </c>
      <c r="C771" t="s">
        <v>6</v>
      </c>
      <c r="D771" s="5">
        <v>45407</v>
      </c>
      <c r="E771" t="s">
        <v>12</v>
      </c>
      <c r="F771">
        <v>13</v>
      </c>
      <c r="G771" t="str">
        <f>VLOOKUP(Table28[[#This Row],[SKU]],Supplier_Products[[#All],[Supplier]:[SKU]],3,FALSE)</f>
        <v>TechCorp</v>
      </c>
      <c r="H771" t="str" cm="1">
        <f t="array" ref="H771">_xlfn.XLOOKUP(Table28[[#This Row],[SKU]],Supplier_Products[[#All],[SKU]],Supplier_Products[[#All],[Supplier]])</f>
        <v>TechCorp</v>
      </c>
    </row>
    <row r="772" spans="1:8" x14ac:dyDescent="0.3">
      <c r="A772">
        <v>1771</v>
      </c>
      <c r="B772">
        <v>606</v>
      </c>
      <c r="C772" t="s">
        <v>173</v>
      </c>
      <c r="D772" s="5">
        <v>45481</v>
      </c>
      <c r="E772" t="s">
        <v>14</v>
      </c>
      <c r="F772">
        <v>18</v>
      </c>
      <c r="G772" t="str">
        <f>VLOOKUP(Table28[[#This Row],[SKU]],Supplier_Products[[#All],[Supplier]:[SKU]],3,FALSE)</f>
        <v>SafeTech</v>
      </c>
      <c r="H772" t="str" cm="1">
        <f t="array" ref="H772">_xlfn.XLOOKUP(Table28[[#This Row],[SKU]],Supplier_Products[[#All],[SKU]],Supplier_Products[[#All],[Supplier]])</f>
        <v>SafeTech</v>
      </c>
    </row>
    <row r="773" spans="1:8" x14ac:dyDescent="0.3">
      <c r="A773">
        <v>1772</v>
      </c>
      <c r="B773">
        <v>740</v>
      </c>
      <c r="C773" t="s">
        <v>117</v>
      </c>
      <c r="D773" s="5">
        <v>45402</v>
      </c>
      <c r="E773" t="s">
        <v>190</v>
      </c>
      <c r="F773">
        <v>12</v>
      </c>
      <c r="G773" t="str">
        <f>VLOOKUP(Table28[[#This Row],[SKU]],Supplier_Products[[#All],[Supplier]:[SKU]],3,FALSE)</f>
        <v>DataSafe</v>
      </c>
      <c r="H773" t="str" cm="1">
        <f t="array" ref="H773">_xlfn.XLOOKUP(Table28[[#This Row],[SKU]],Supplier_Products[[#All],[SKU]],Supplier_Products[[#All],[Supplier]])</f>
        <v>DataSafe</v>
      </c>
    </row>
    <row r="774" spans="1:8" x14ac:dyDescent="0.3">
      <c r="A774">
        <v>1773</v>
      </c>
      <c r="B774">
        <v>689</v>
      </c>
      <c r="C774" t="s">
        <v>145</v>
      </c>
      <c r="D774" s="5">
        <v>45492</v>
      </c>
      <c r="E774" t="s">
        <v>190</v>
      </c>
      <c r="F774">
        <v>15</v>
      </c>
      <c r="G774" t="str">
        <f>VLOOKUP(Table28[[#This Row],[SKU]],Supplier_Products[[#All],[Supplier]:[SKU]],3,FALSE)</f>
        <v>BrightHome</v>
      </c>
      <c r="H774" t="str" cm="1">
        <f t="array" ref="H774">_xlfn.XLOOKUP(Table28[[#This Row],[SKU]],Supplier_Products[[#All],[SKU]],Supplier_Products[[#All],[Supplier]])</f>
        <v>BrightHome</v>
      </c>
    </row>
    <row r="775" spans="1:8" x14ac:dyDescent="0.3">
      <c r="A775">
        <v>1774</v>
      </c>
      <c r="B775">
        <v>669</v>
      </c>
      <c r="C775" t="s">
        <v>133</v>
      </c>
      <c r="D775" s="5">
        <v>45461</v>
      </c>
      <c r="E775" t="s">
        <v>14</v>
      </c>
      <c r="F775">
        <v>7</v>
      </c>
      <c r="G775" t="str">
        <f>VLOOKUP(Table28[[#This Row],[SKU]],Supplier_Products[[#All],[Supplier]:[SKU]],3,FALSE)</f>
        <v>SafeTech</v>
      </c>
      <c r="H775" t="str" cm="1">
        <f t="array" ref="H775">_xlfn.XLOOKUP(Table28[[#This Row],[SKU]],Supplier_Products[[#All],[SKU]],Supplier_Products[[#All],[Supplier]])</f>
        <v>SafeTech</v>
      </c>
    </row>
    <row r="776" spans="1:8" x14ac:dyDescent="0.3">
      <c r="A776">
        <v>1775</v>
      </c>
      <c r="B776">
        <v>709</v>
      </c>
      <c r="C776" t="s">
        <v>173</v>
      </c>
      <c r="D776" s="5">
        <v>45643</v>
      </c>
      <c r="E776" t="s">
        <v>14</v>
      </c>
      <c r="F776">
        <v>10</v>
      </c>
      <c r="G776" t="str">
        <f>VLOOKUP(Table28[[#This Row],[SKU]],Supplier_Products[[#All],[Supplier]:[SKU]],3,FALSE)</f>
        <v>SafeTech</v>
      </c>
      <c r="H776" t="str" cm="1">
        <f t="array" ref="H776">_xlfn.XLOOKUP(Table28[[#This Row],[SKU]],Supplier_Products[[#All],[SKU]],Supplier_Products[[#All],[Supplier]])</f>
        <v>SafeTech</v>
      </c>
    </row>
    <row r="777" spans="1:8" x14ac:dyDescent="0.3">
      <c r="A777">
        <v>1776</v>
      </c>
      <c r="B777">
        <v>664</v>
      </c>
      <c r="C777" t="s">
        <v>169</v>
      </c>
      <c r="D777" s="5">
        <v>45523</v>
      </c>
      <c r="E777" t="s">
        <v>14</v>
      </c>
      <c r="F777">
        <v>15</v>
      </c>
      <c r="G777" t="str">
        <f>VLOOKUP(Table28[[#This Row],[SKU]],Supplier_Products[[#All],[Supplier]:[SKU]],3,FALSE)</f>
        <v>SafeDrive</v>
      </c>
      <c r="H777" t="str" cm="1">
        <f t="array" ref="H777">_xlfn.XLOOKUP(Table28[[#This Row],[SKU]],Supplier_Products[[#All],[SKU]],Supplier_Products[[#All],[Supplier]])</f>
        <v>SafeDrive</v>
      </c>
    </row>
    <row r="778" spans="1:8" x14ac:dyDescent="0.3">
      <c r="A778">
        <v>1777</v>
      </c>
      <c r="B778">
        <v>518</v>
      </c>
      <c r="C778" t="s">
        <v>9</v>
      </c>
      <c r="D778" s="5">
        <v>45509</v>
      </c>
      <c r="E778" t="s">
        <v>14</v>
      </c>
      <c r="F778">
        <v>17</v>
      </c>
      <c r="G778" t="str">
        <f>VLOOKUP(Table28[[#This Row],[SKU]],Supplier_Products[[#All],[Supplier]:[SKU]],3,FALSE)</f>
        <v>CompuTech</v>
      </c>
      <c r="H778" t="str" cm="1">
        <f t="array" ref="H778">_xlfn.XLOOKUP(Table28[[#This Row],[SKU]],Supplier_Products[[#All],[SKU]],Supplier_Products[[#All],[Supplier]])</f>
        <v>CompuTech</v>
      </c>
    </row>
    <row r="779" spans="1:8" x14ac:dyDescent="0.3">
      <c r="A779">
        <v>1778</v>
      </c>
      <c r="B779">
        <v>683</v>
      </c>
      <c r="C779" t="s">
        <v>166</v>
      </c>
      <c r="D779" s="5">
        <v>45569</v>
      </c>
      <c r="E779" t="s">
        <v>191</v>
      </c>
      <c r="F779">
        <v>6</v>
      </c>
      <c r="G779" t="str">
        <f>VLOOKUP(Table28[[#This Row],[SKU]],Supplier_Products[[#All],[Supplier]:[SKU]],3,FALSE)</f>
        <v>BookTech</v>
      </c>
      <c r="H779" t="str" cm="1">
        <f t="array" ref="H779">_xlfn.XLOOKUP(Table28[[#This Row],[SKU]],Supplier_Products[[#All],[SKU]],Supplier_Products[[#All],[Supplier]])</f>
        <v>BookTech</v>
      </c>
    </row>
    <row r="780" spans="1:8" x14ac:dyDescent="0.3">
      <c r="A780">
        <v>1779</v>
      </c>
      <c r="B780">
        <v>527</v>
      </c>
      <c r="C780" t="s">
        <v>137</v>
      </c>
      <c r="D780" s="5">
        <v>45582</v>
      </c>
      <c r="E780" t="s">
        <v>188</v>
      </c>
      <c r="F780">
        <v>13</v>
      </c>
      <c r="G780" t="str">
        <f>VLOOKUP(Table28[[#This Row],[SKU]],Supplier_Products[[#All],[Supplier]:[SKU]],3,FALSE)</f>
        <v>CleanBot</v>
      </c>
      <c r="H780" t="str" cm="1">
        <f t="array" ref="H780">_xlfn.XLOOKUP(Table28[[#This Row],[SKU]],Supplier_Products[[#All],[SKU]],Supplier_Products[[#All],[Supplier]])</f>
        <v>CleanBot</v>
      </c>
    </row>
    <row r="781" spans="1:8" x14ac:dyDescent="0.3">
      <c r="A781">
        <v>1780</v>
      </c>
      <c r="B781">
        <v>533</v>
      </c>
      <c r="C781" t="s">
        <v>175</v>
      </c>
      <c r="D781" s="5">
        <v>45413</v>
      </c>
      <c r="E781" t="s">
        <v>186</v>
      </c>
      <c r="F781">
        <v>4</v>
      </c>
      <c r="G781" t="str">
        <f>VLOOKUP(Table28[[#This Row],[SKU]],Supplier_Products[[#All],[Supplier]:[SKU]],3,FALSE)</f>
        <v>DisplayPro</v>
      </c>
      <c r="H781" t="str" cm="1">
        <f t="array" ref="H781">_xlfn.XLOOKUP(Table28[[#This Row],[SKU]],Supplier_Products[[#All],[SKU]],Supplier_Products[[#All],[Supplier]])</f>
        <v>DisplayPro</v>
      </c>
    </row>
    <row r="782" spans="1:8" x14ac:dyDescent="0.3">
      <c r="A782">
        <v>1781</v>
      </c>
      <c r="B782">
        <v>750</v>
      </c>
      <c r="C782" t="s">
        <v>175</v>
      </c>
      <c r="D782" s="5">
        <v>45377</v>
      </c>
      <c r="E782" t="s">
        <v>186</v>
      </c>
      <c r="F782">
        <v>18</v>
      </c>
      <c r="G782" t="str">
        <f>VLOOKUP(Table28[[#This Row],[SKU]],Supplier_Products[[#All],[Supplier]:[SKU]],3,FALSE)</f>
        <v>DisplayPro</v>
      </c>
      <c r="H782" t="str" cm="1">
        <f t="array" ref="H782">_xlfn.XLOOKUP(Table28[[#This Row],[SKU]],Supplier_Products[[#All],[SKU]],Supplier_Products[[#All],[Supplier]])</f>
        <v>DisplayPro</v>
      </c>
    </row>
    <row r="783" spans="1:8" x14ac:dyDescent="0.3">
      <c r="A783">
        <v>1782</v>
      </c>
      <c r="B783">
        <v>689</v>
      </c>
      <c r="C783" t="s">
        <v>123</v>
      </c>
      <c r="D783" s="5">
        <v>45299</v>
      </c>
      <c r="E783" t="s">
        <v>189</v>
      </c>
      <c r="F783">
        <v>6</v>
      </c>
      <c r="G783" t="str">
        <f>VLOOKUP(Table28[[#This Row],[SKU]],Supplier_Products[[#All],[Supplier]:[SKU]],3,FALSE)</f>
        <v>VRWorld</v>
      </c>
      <c r="H783" t="str" cm="1">
        <f t="array" ref="H783">_xlfn.XLOOKUP(Table28[[#This Row],[SKU]],Supplier_Products[[#All],[SKU]],Supplier_Products[[#All],[Supplier]])</f>
        <v>VRWorld</v>
      </c>
    </row>
    <row r="784" spans="1:8" x14ac:dyDescent="0.3">
      <c r="A784">
        <v>1783</v>
      </c>
      <c r="B784">
        <v>711</v>
      </c>
      <c r="C784" t="s">
        <v>8</v>
      </c>
      <c r="D784" s="5">
        <v>45473</v>
      </c>
      <c r="E784" t="s">
        <v>15</v>
      </c>
      <c r="F784">
        <v>15</v>
      </c>
      <c r="G784" t="str">
        <f>VLOOKUP(Table28[[#This Row],[SKU]],Supplier_Products[[#All],[Supplier]:[SKU]],3,FALSE)</f>
        <v>Wearable Inc.</v>
      </c>
      <c r="H784" t="str" cm="1">
        <f t="array" ref="H784">_xlfn.XLOOKUP(Table28[[#This Row],[SKU]],Supplier_Products[[#All],[SKU]],Supplier_Products[[#All],[Supplier]])</f>
        <v>Wearable Inc.</v>
      </c>
    </row>
    <row r="785" spans="1:8" x14ac:dyDescent="0.3">
      <c r="A785">
        <v>1784</v>
      </c>
      <c r="B785">
        <v>645</v>
      </c>
      <c r="C785" t="s">
        <v>173</v>
      </c>
      <c r="D785" s="5">
        <v>45298</v>
      </c>
      <c r="E785" t="s">
        <v>14</v>
      </c>
      <c r="F785">
        <v>8</v>
      </c>
      <c r="G785" t="str">
        <f>VLOOKUP(Table28[[#This Row],[SKU]],Supplier_Products[[#All],[Supplier]:[SKU]],3,FALSE)</f>
        <v>SafeTech</v>
      </c>
      <c r="H785" t="str" cm="1">
        <f t="array" ref="H785">_xlfn.XLOOKUP(Table28[[#This Row],[SKU]],Supplier_Products[[#All],[SKU]],Supplier_Products[[#All],[Supplier]])</f>
        <v>SafeTech</v>
      </c>
    </row>
    <row r="786" spans="1:8" x14ac:dyDescent="0.3">
      <c r="A786">
        <v>1785</v>
      </c>
      <c r="B786">
        <v>663</v>
      </c>
      <c r="C786" t="s">
        <v>169</v>
      </c>
      <c r="D786" s="5">
        <v>45348</v>
      </c>
      <c r="E786" t="s">
        <v>14</v>
      </c>
      <c r="F786">
        <v>2</v>
      </c>
      <c r="G786" t="str">
        <f>VLOOKUP(Table28[[#This Row],[SKU]],Supplier_Products[[#All],[Supplier]:[SKU]],3,FALSE)</f>
        <v>SafeDrive</v>
      </c>
      <c r="H786" t="str" cm="1">
        <f t="array" ref="H786">_xlfn.XLOOKUP(Table28[[#This Row],[SKU]],Supplier_Products[[#All],[SKU]],Supplier_Products[[#All],[Supplier]])</f>
        <v>SafeDrive</v>
      </c>
    </row>
    <row r="787" spans="1:8" x14ac:dyDescent="0.3">
      <c r="A787">
        <v>1786</v>
      </c>
      <c r="B787">
        <v>696</v>
      </c>
      <c r="C787" t="s">
        <v>72</v>
      </c>
      <c r="D787" s="5">
        <v>45602</v>
      </c>
      <c r="E787" t="s">
        <v>187</v>
      </c>
      <c r="F787">
        <v>12</v>
      </c>
      <c r="G787" t="str">
        <f>VLOOKUP(Table28[[#This Row],[SKU]],Supplier_Products[[#All],[Supplier]:[SKU]],3,FALSE)</f>
        <v>SoundWave</v>
      </c>
      <c r="H787" t="str" cm="1">
        <f t="array" ref="H787">_xlfn.XLOOKUP(Table28[[#This Row],[SKU]],Supplier_Products[[#All],[SKU]],Supplier_Products[[#All],[Supplier]])</f>
        <v>SoundWave</v>
      </c>
    </row>
    <row r="788" spans="1:8" x14ac:dyDescent="0.3">
      <c r="A788">
        <v>1787</v>
      </c>
      <c r="B788">
        <v>587</v>
      </c>
      <c r="C788" t="s">
        <v>114</v>
      </c>
      <c r="D788" s="5">
        <v>45621</v>
      </c>
      <c r="E788" t="s">
        <v>189</v>
      </c>
      <c r="F788">
        <v>9</v>
      </c>
      <c r="G788" t="str">
        <f>VLOOKUP(Table28[[#This Row],[SKU]],Supplier_Products[[#All],[Supplier]:[SKU]],3,FALSE)</f>
        <v>VisionTech</v>
      </c>
      <c r="H788" t="str" cm="1">
        <f t="array" ref="H788">_xlfn.XLOOKUP(Table28[[#This Row],[SKU]],Supplier_Products[[#All],[SKU]],Supplier_Products[[#All],[Supplier]])</f>
        <v>VisionTech</v>
      </c>
    </row>
    <row r="789" spans="1:8" x14ac:dyDescent="0.3">
      <c r="A789">
        <v>1788</v>
      </c>
      <c r="B789">
        <v>727</v>
      </c>
      <c r="C789" t="s">
        <v>140</v>
      </c>
      <c r="D789" s="5">
        <v>45399</v>
      </c>
      <c r="E789" t="s">
        <v>187</v>
      </c>
      <c r="F789">
        <v>11</v>
      </c>
      <c r="G789" t="str">
        <f>VLOOKUP(Table28[[#This Row],[SKU]],Supplier_Products[[#All],[Supplier]:[SKU]],3,FALSE)</f>
        <v>SoundWave</v>
      </c>
      <c r="H789" t="str" cm="1">
        <f t="array" ref="H789">_xlfn.XLOOKUP(Table28[[#This Row],[SKU]],Supplier_Products[[#All],[SKU]],Supplier_Products[[#All],[Supplier]])</f>
        <v>SoundWave</v>
      </c>
    </row>
    <row r="790" spans="1:8" x14ac:dyDescent="0.3">
      <c r="A790">
        <v>1789</v>
      </c>
      <c r="B790">
        <v>590</v>
      </c>
      <c r="C790" t="s">
        <v>126</v>
      </c>
      <c r="D790" s="5">
        <v>45522</v>
      </c>
      <c r="E790" t="s">
        <v>191</v>
      </c>
      <c r="F790">
        <v>5</v>
      </c>
      <c r="G790" t="str">
        <f>VLOOKUP(Table28[[#This Row],[SKU]],Supplier_Products[[#All],[Supplier]:[SKU]],3,FALSE)</f>
        <v>FitTech</v>
      </c>
      <c r="H790" t="str" cm="1">
        <f t="array" ref="H790">_xlfn.XLOOKUP(Table28[[#This Row],[SKU]],Supplier_Products[[#All],[SKU]],Supplier_Products[[#All],[Supplier]])</f>
        <v>FitTech</v>
      </c>
    </row>
    <row r="791" spans="1:8" x14ac:dyDescent="0.3">
      <c r="A791">
        <v>1790</v>
      </c>
      <c r="B791">
        <v>581</v>
      </c>
      <c r="C791" t="s">
        <v>142</v>
      </c>
      <c r="D791" s="5">
        <v>45442</v>
      </c>
      <c r="E791" t="s">
        <v>186</v>
      </c>
      <c r="F791">
        <v>9</v>
      </c>
      <c r="G791" t="str">
        <f>VLOOKUP(Table28[[#This Row],[SKU]],Supplier_Products[[#All],[Supplier]:[SKU]],3,FALSE)</f>
        <v>GPUForce</v>
      </c>
      <c r="H791" t="str" cm="1">
        <f t="array" ref="H791">_xlfn.XLOOKUP(Table28[[#This Row],[SKU]],Supplier_Products[[#All],[SKU]],Supplier_Products[[#All],[Supplier]])</f>
        <v>GPUForce</v>
      </c>
    </row>
    <row r="792" spans="1:8" x14ac:dyDescent="0.3">
      <c r="A792">
        <v>1791</v>
      </c>
      <c r="B792">
        <v>588</v>
      </c>
      <c r="C792" t="s">
        <v>73</v>
      </c>
      <c r="D792" s="5">
        <v>45355</v>
      </c>
      <c r="E792" t="s">
        <v>186</v>
      </c>
      <c r="F792">
        <v>7</v>
      </c>
      <c r="G792" t="str">
        <f>VLOOKUP(Table28[[#This Row],[SKU]],Supplier_Products[[#All],[Supplier]:[SKU]],3,FALSE)</f>
        <v>ClickTech</v>
      </c>
      <c r="H792" t="str" cm="1">
        <f t="array" ref="H792">_xlfn.XLOOKUP(Table28[[#This Row],[SKU]],Supplier_Products[[#All],[SKU]],Supplier_Products[[#All],[Supplier]])</f>
        <v>ClickTech</v>
      </c>
    </row>
    <row r="793" spans="1:8" x14ac:dyDescent="0.3">
      <c r="A793">
        <v>1792</v>
      </c>
      <c r="B793">
        <v>645</v>
      </c>
      <c r="C793" t="s">
        <v>123</v>
      </c>
      <c r="D793" s="5">
        <v>45333</v>
      </c>
      <c r="E793" t="s">
        <v>189</v>
      </c>
      <c r="F793">
        <v>3</v>
      </c>
      <c r="G793" t="str">
        <f>VLOOKUP(Table28[[#This Row],[SKU]],Supplier_Products[[#All],[Supplier]:[SKU]],3,FALSE)</f>
        <v>VRWorld</v>
      </c>
      <c r="H793" t="str" cm="1">
        <f t="array" ref="H793">_xlfn.XLOOKUP(Table28[[#This Row],[SKU]],Supplier_Products[[#All],[SKU]],Supplier_Products[[#All],[Supplier]])</f>
        <v>VRWorld</v>
      </c>
    </row>
    <row r="794" spans="1:8" x14ac:dyDescent="0.3">
      <c r="A794">
        <v>1793</v>
      </c>
      <c r="B794">
        <v>538</v>
      </c>
      <c r="C794" t="s">
        <v>129</v>
      </c>
      <c r="D794" s="5">
        <v>45412</v>
      </c>
      <c r="E794" t="s">
        <v>12</v>
      </c>
      <c r="F794">
        <v>15</v>
      </c>
      <c r="G794" t="str">
        <f>VLOOKUP(Table28[[#This Row],[SKU]],Supplier_Products[[#All],[Supplier]:[SKU]],3,FALSE)</f>
        <v>StreamIt</v>
      </c>
      <c r="H794" t="str" cm="1">
        <f t="array" ref="H794">_xlfn.XLOOKUP(Table28[[#This Row],[SKU]],Supplier_Products[[#All],[SKU]],Supplier_Products[[#All],[Supplier]])</f>
        <v>StreamIt</v>
      </c>
    </row>
    <row r="795" spans="1:8" x14ac:dyDescent="0.3">
      <c r="A795">
        <v>1794</v>
      </c>
      <c r="B795">
        <v>708</v>
      </c>
      <c r="C795" t="s">
        <v>72</v>
      </c>
      <c r="D795" s="5">
        <v>45369</v>
      </c>
      <c r="E795" t="s">
        <v>187</v>
      </c>
      <c r="F795">
        <v>19</v>
      </c>
      <c r="G795" t="str">
        <f>VLOOKUP(Table28[[#This Row],[SKU]],Supplier_Products[[#All],[Supplier]:[SKU]],3,FALSE)</f>
        <v>SoundWave</v>
      </c>
      <c r="H795" t="str" cm="1">
        <f t="array" ref="H795">_xlfn.XLOOKUP(Table28[[#This Row],[SKU]],Supplier_Products[[#All],[SKU]],Supplier_Products[[#All],[Supplier]])</f>
        <v>SoundWave</v>
      </c>
    </row>
    <row r="796" spans="1:8" x14ac:dyDescent="0.3">
      <c r="A796">
        <v>1795</v>
      </c>
      <c r="B796">
        <v>595</v>
      </c>
      <c r="C796" t="s">
        <v>117</v>
      </c>
      <c r="D796" s="5">
        <v>45544</v>
      </c>
      <c r="E796" t="s">
        <v>190</v>
      </c>
      <c r="F796">
        <v>17</v>
      </c>
      <c r="G796" t="str">
        <f>VLOOKUP(Table28[[#This Row],[SKU]],Supplier_Products[[#All],[Supplier]:[SKU]],3,FALSE)</f>
        <v>DataSafe</v>
      </c>
      <c r="H796" t="str" cm="1">
        <f t="array" ref="H796">_xlfn.XLOOKUP(Table28[[#This Row],[SKU]],Supplier_Products[[#All],[SKU]],Supplier_Products[[#All],[Supplier]])</f>
        <v>DataSafe</v>
      </c>
    </row>
    <row r="797" spans="1:8" x14ac:dyDescent="0.3">
      <c r="A797">
        <v>1796</v>
      </c>
      <c r="B797">
        <v>593</v>
      </c>
      <c r="C797" t="s">
        <v>160</v>
      </c>
      <c r="D797" s="5">
        <v>45418</v>
      </c>
      <c r="E797" t="s">
        <v>13</v>
      </c>
      <c r="F797">
        <v>19</v>
      </c>
      <c r="G797" t="str">
        <f>VLOOKUP(Table28[[#This Row],[SKU]],Supplier_Products[[#All],[Supplier]:[SKU]],3,FALSE)</f>
        <v>SoundCo</v>
      </c>
      <c r="H797" t="str" cm="1">
        <f t="array" ref="H797">_xlfn.XLOOKUP(Table28[[#This Row],[SKU]],Supplier_Products[[#All],[SKU]],Supplier_Products[[#All],[Supplier]])</f>
        <v>SoundCo</v>
      </c>
    </row>
    <row r="798" spans="1:8" x14ac:dyDescent="0.3">
      <c r="A798">
        <v>1797</v>
      </c>
      <c r="B798">
        <v>667</v>
      </c>
      <c r="C798" t="s">
        <v>72</v>
      </c>
      <c r="D798" s="5">
        <v>45635</v>
      </c>
      <c r="E798" t="s">
        <v>187</v>
      </c>
      <c r="F798">
        <v>16</v>
      </c>
      <c r="G798" t="str">
        <f>VLOOKUP(Table28[[#This Row],[SKU]],Supplier_Products[[#All],[Supplier]:[SKU]],3,FALSE)</f>
        <v>SoundWave</v>
      </c>
      <c r="H798" t="str" cm="1">
        <f t="array" ref="H798">_xlfn.XLOOKUP(Table28[[#This Row],[SKU]],Supplier_Products[[#All],[SKU]],Supplier_Products[[#All],[Supplier]])</f>
        <v>SoundWave</v>
      </c>
    </row>
    <row r="799" spans="1:8" x14ac:dyDescent="0.3">
      <c r="A799">
        <v>1798</v>
      </c>
      <c r="B799">
        <v>550</v>
      </c>
      <c r="C799" t="s">
        <v>10</v>
      </c>
      <c r="D799" s="5">
        <v>45353</v>
      </c>
      <c r="E799" t="s">
        <v>13</v>
      </c>
      <c r="F799">
        <v>13</v>
      </c>
      <c r="G799" t="str">
        <f>VLOOKUP(Table28[[#This Row],[SKU]],Supplier_Products[[#All],[Supplier]:[SKU]],3,FALSE)</f>
        <v>TabletMakers</v>
      </c>
      <c r="H799" t="str" cm="1">
        <f t="array" ref="H799">_xlfn.XLOOKUP(Table28[[#This Row],[SKU]],Supplier_Products[[#All],[SKU]],Supplier_Products[[#All],[Supplier]])</f>
        <v>TabletMakers</v>
      </c>
    </row>
    <row r="800" spans="1:8" x14ac:dyDescent="0.3">
      <c r="A800">
        <v>1799</v>
      </c>
      <c r="B800">
        <v>542</v>
      </c>
      <c r="C800" t="s">
        <v>160</v>
      </c>
      <c r="D800" s="5">
        <v>45497</v>
      </c>
      <c r="E800" t="s">
        <v>13</v>
      </c>
      <c r="F800">
        <v>11</v>
      </c>
      <c r="G800" t="str">
        <f>VLOOKUP(Table28[[#This Row],[SKU]],Supplier_Products[[#All],[Supplier]:[SKU]],3,FALSE)</f>
        <v>SoundCo</v>
      </c>
      <c r="H800" t="str" cm="1">
        <f t="array" ref="H800">_xlfn.XLOOKUP(Table28[[#This Row],[SKU]],Supplier_Products[[#All],[SKU]],Supplier_Products[[#All],[Supplier]])</f>
        <v>SoundCo</v>
      </c>
    </row>
    <row r="801" spans="1:8" x14ac:dyDescent="0.3">
      <c r="A801">
        <v>1800</v>
      </c>
      <c r="B801">
        <v>543</v>
      </c>
      <c r="C801" t="s">
        <v>160</v>
      </c>
      <c r="D801" s="5">
        <v>45635</v>
      </c>
      <c r="E801" t="s">
        <v>13</v>
      </c>
      <c r="F801">
        <v>2</v>
      </c>
      <c r="G801" t="str">
        <f>VLOOKUP(Table28[[#This Row],[SKU]],Supplier_Products[[#All],[Supplier]:[SKU]],3,FALSE)</f>
        <v>SoundCo</v>
      </c>
      <c r="H801" t="str" cm="1">
        <f t="array" ref="H801">_xlfn.XLOOKUP(Table28[[#This Row],[SKU]],Supplier_Products[[#All],[SKU]],Supplier_Products[[#All],[Supplier]])</f>
        <v>SoundCo</v>
      </c>
    </row>
    <row r="802" spans="1:8" x14ac:dyDescent="0.3">
      <c r="A802">
        <v>1801</v>
      </c>
      <c r="B802">
        <v>638</v>
      </c>
      <c r="C802" t="s">
        <v>73</v>
      </c>
      <c r="D802" s="5">
        <v>45394</v>
      </c>
      <c r="E802" t="s">
        <v>186</v>
      </c>
      <c r="F802">
        <v>1</v>
      </c>
      <c r="G802" t="str">
        <f>VLOOKUP(Table28[[#This Row],[SKU]],Supplier_Products[[#All],[Supplier]:[SKU]],3,FALSE)</f>
        <v>ClickTech</v>
      </c>
      <c r="H802" t="str" cm="1">
        <f t="array" ref="H802">_xlfn.XLOOKUP(Table28[[#This Row],[SKU]],Supplier_Products[[#All],[SKU]],Supplier_Products[[#All],[Supplier]])</f>
        <v>ClickTech</v>
      </c>
    </row>
    <row r="803" spans="1:8" x14ac:dyDescent="0.3">
      <c r="A803">
        <v>1802</v>
      </c>
      <c r="B803">
        <v>599</v>
      </c>
      <c r="C803" t="s">
        <v>148</v>
      </c>
      <c r="D803" s="5">
        <v>45487</v>
      </c>
      <c r="E803" t="s">
        <v>12</v>
      </c>
      <c r="F803">
        <v>5</v>
      </c>
      <c r="G803" t="str">
        <f>VLOOKUP(Table28[[#This Row],[SKU]],Supplier_Products[[#All],[Supplier]:[SKU]],3,FALSE)</f>
        <v>ChargePro</v>
      </c>
      <c r="H803" t="str" cm="1">
        <f t="array" ref="H803">_xlfn.XLOOKUP(Table28[[#This Row],[SKU]],Supplier_Products[[#All],[SKU]],Supplier_Products[[#All],[Supplier]])</f>
        <v>ChargePro</v>
      </c>
    </row>
    <row r="804" spans="1:8" x14ac:dyDescent="0.3">
      <c r="A804">
        <v>1803</v>
      </c>
      <c r="B804">
        <v>603</v>
      </c>
      <c r="C804" t="s">
        <v>169</v>
      </c>
      <c r="D804" s="5">
        <v>45424</v>
      </c>
      <c r="E804" t="s">
        <v>14</v>
      </c>
      <c r="F804">
        <v>2</v>
      </c>
      <c r="G804" t="str">
        <f>VLOOKUP(Table28[[#This Row],[SKU]],Supplier_Products[[#All],[Supplier]:[SKU]],3,FALSE)</f>
        <v>SafeDrive</v>
      </c>
      <c r="H804" t="str" cm="1">
        <f t="array" ref="H804">_xlfn.XLOOKUP(Table28[[#This Row],[SKU]],Supplier_Products[[#All],[SKU]],Supplier_Products[[#All],[Supplier]])</f>
        <v>SafeDrive</v>
      </c>
    </row>
    <row r="805" spans="1:8" x14ac:dyDescent="0.3">
      <c r="A805">
        <v>1804</v>
      </c>
      <c r="B805">
        <v>685</v>
      </c>
      <c r="C805" t="s">
        <v>184</v>
      </c>
      <c r="D805" s="5">
        <v>45460</v>
      </c>
      <c r="E805" t="s">
        <v>189</v>
      </c>
      <c r="F805">
        <v>15</v>
      </c>
      <c r="G805" t="str">
        <f>VLOOKUP(Table28[[#This Row],[SKU]],Supplier_Products[[#All],[Supplier]:[SKU]],3,FALSE)</f>
        <v>VisionTech</v>
      </c>
      <c r="H805" t="str" cm="1">
        <f t="array" ref="H805">_xlfn.XLOOKUP(Table28[[#This Row],[SKU]],Supplier_Products[[#All],[SKU]],Supplier_Products[[#All],[Supplier]])</f>
        <v>VisionTech</v>
      </c>
    </row>
    <row r="806" spans="1:8" x14ac:dyDescent="0.3">
      <c r="A806">
        <v>1805</v>
      </c>
      <c r="B806">
        <v>513</v>
      </c>
      <c r="C806" t="s">
        <v>121</v>
      </c>
      <c r="D806" s="5">
        <v>45418</v>
      </c>
      <c r="E806" t="s">
        <v>186</v>
      </c>
      <c r="F806">
        <v>20</v>
      </c>
      <c r="G806" t="str">
        <f>VLOOKUP(Table28[[#This Row],[SKU]],Supplier_Products[[#All],[Supplier]:[SKU]],3,FALSE)</f>
        <v>ClickTech</v>
      </c>
      <c r="H806" t="str" cm="1">
        <f t="array" ref="H806">_xlfn.XLOOKUP(Table28[[#This Row],[SKU]],Supplier_Products[[#All],[SKU]],Supplier_Products[[#All],[Supplier]])</f>
        <v>ClickTech</v>
      </c>
    </row>
    <row r="807" spans="1:8" x14ac:dyDescent="0.3">
      <c r="A807">
        <v>1806</v>
      </c>
      <c r="B807">
        <v>585</v>
      </c>
      <c r="C807" t="s">
        <v>126</v>
      </c>
      <c r="D807" s="5">
        <v>45639</v>
      </c>
      <c r="E807" t="s">
        <v>191</v>
      </c>
      <c r="F807">
        <v>10</v>
      </c>
      <c r="G807" t="str">
        <f>VLOOKUP(Table28[[#This Row],[SKU]],Supplier_Products[[#All],[Supplier]:[SKU]],3,FALSE)</f>
        <v>FitTech</v>
      </c>
      <c r="H807" t="str" cm="1">
        <f t="array" ref="H807">_xlfn.XLOOKUP(Table28[[#This Row],[SKU]],Supplier_Products[[#All],[SKU]],Supplier_Products[[#All],[Supplier]])</f>
        <v>FitTech</v>
      </c>
    </row>
    <row r="808" spans="1:8" x14ac:dyDescent="0.3">
      <c r="A808">
        <v>1807</v>
      </c>
      <c r="B808">
        <v>589</v>
      </c>
      <c r="C808" t="s">
        <v>158</v>
      </c>
      <c r="D808" s="5">
        <v>45645</v>
      </c>
      <c r="E808" t="s">
        <v>186</v>
      </c>
      <c r="F808">
        <v>1</v>
      </c>
      <c r="G808" t="str">
        <f>VLOOKUP(Table28[[#This Row],[SKU]],Supplier_Products[[#All],[Supplier]:[SKU]],3,FALSE)</f>
        <v>ClickTech</v>
      </c>
      <c r="H808" t="str" cm="1">
        <f t="array" ref="H808">_xlfn.XLOOKUP(Table28[[#This Row],[SKU]],Supplier_Products[[#All],[SKU]],Supplier_Products[[#All],[Supplier]])</f>
        <v>ClickTech</v>
      </c>
    </row>
    <row r="809" spans="1:8" x14ac:dyDescent="0.3">
      <c r="A809">
        <v>1808</v>
      </c>
      <c r="B809">
        <v>733</v>
      </c>
      <c r="C809" t="s">
        <v>140</v>
      </c>
      <c r="D809" s="5">
        <v>45343</v>
      </c>
      <c r="E809" t="s">
        <v>187</v>
      </c>
      <c r="F809">
        <v>7</v>
      </c>
      <c r="G809" t="str">
        <f>VLOOKUP(Table28[[#This Row],[SKU]],Supplier_Products[[#All],[Supplier]:[SKU]],3,FALSE)</f>
        <v>SoundWave</v>
      </c>
      <c r="H809" t="str" cm="1">
        <f t="array" ref="H809">_xlfn.XLOOKUP(Table28[[#This Row],[SKU]],Supplier_Products[[#All],[SKU]],Supplier_Products[[#All],[Supplier]])</f>
        <v>SoundWave</v>
      </c>
    </row>
    <row r="810" spans="1:8" x14ac:dyDescent="0.3">
      <c r="A810">
        <v>1809</v>
      </c>
      <c r="B810">
        <v>748</v>
      </c>
      <c r="C810" t="s">
        <v>6</v>
      </c>
      <c r="D810" s="5">
        <v>45625</v>
      </c>
      <c r="E810" t="s">
        <v>12</v>
      </c>
      <c r="F810">
        <v>19</v>
      </c>
      <c r="G810" t="str">
        <f>VLOOKUP(Table28[[#This Row],[SKU]],Supplier_Products[[#All],[Supplier]:[SKU]],3,FALSE)</f>
        <v>TechCorp</v>
      </c>
      <c r="H810" t="str" cm="1">
        <f t="array" ref="H810">_xlfn.XLOOKUP(Table28[[#This Row],[SKU]],Supplier_Products[[#All],[SKU]],Supplier_Products[[#All],[Supplier]])</f>
        <v>TechCorp</v>
      </c>
    </row>
    <row r="811" spans="1:8" x14ac:dyDescent="0.3">
      <c r="A811">
        <v>1810</v>
      </c>
      <c r="B811">
        <v>582</v>
      </c>
      <c r="C811" t="s">
        <v>11</v>
      </c>
      <c r="D811" s="5">
        <v>45568</v>
      </c>
      <c r="E811" t="s">
        <v>12</v>
      </c>
      <c r="F811">
        <v>20</v>
      </c>
      <c r="G811" t="str">
        <f>VLOOKUP(Table28[[#This Row],[SKU]],Supplier_Products[[#All],[Supplier]:[SKU]],3,FALSE)</f>
        <v>ChargePro</v>
      </c>
      <c r="H811" t="str" cm="1">
        <f t="array" ref="H811">_xlfn.XLOOKUP(Table28[[#This Row],[SKU]],Supplier_Products[[#All],[SKU]],Supplier_Products[[#All],[Supplier]])</f>
        <v>ChargePro</v>
      </c>
    </row>
    <row r="812" spans="1:8" x14ac:dyDescent="0.3">
      <c r="A812">
        <v>1811</v>
      </c>
      <c r="B812">
        <v>620</v>
      </c>
      <c r="C812" t="s">
        <v>114</v>
      </c>
      <c r="D812" s="5">
        <v>45486</v>
      </c>
      <c r="E812" t="s">
        <v>189</v>
      </c>
      <c r="F812">
        <v>6</v>
      </c>
      <c r="G812" t="str">
        <f>VLOOKUP(Table28[[#This Row],[SKU]],Supplier_Products[[#All],[Supplier]:[SKU]],3,FALSE)</f>
        <v>VisionTech</v>
      </c>
      <c r="H812" t="str" cm="1">
        <f t="array" ref="H812">_xlfn.XLOOKUP(Table28[[#This Row],[SKU]],Supplier_Products[[#All],[SKU]],Supplier_Products[[#All],[Supplier]])</f>
        <v>VisionTech</v>
      </c>
    </row>
    <row r="813" spans="1:8" x14ac:dyDescent="0.3">
      <c r="A813">
        <v>1812</v>
      </c>
      <c r="B813">
        <v>569</v>
      </c>
      <c r="C813" t="s">
        <v>173</v>
      </c>
      <c r="D813" s="5">
        <v>45392</v>
      </c>
      <c r="E813" t="s">
        <v>14</v>
      </c>
      <c r="F813">
        <v>6</v>
      </c>
      <c r="G813" t="str">
        <f>VLOOKUP(Table28[[#This Row],[SKU]],Supplier_Products[[#All],[Supplier]:[SKU]],3,FALSE)</f>
        <v>SafeTech</v>
      </c>
      <c r="H813" t="str" cm="1">
        <f t="array" ref="H813">_xlfn.XLOOKUP(Table28[[#This Row],[SKU]],Supplier_Products[[#All],[SKU]],Supplier_Products[[#All],[Supplier]])</f>
        <v>SafeTech</v>
      </c>
    </row>
    <row r="814" spans="1:8" x14ac:dyDescent="0.3">
      <c r="A814">
        <v>1813</v>
      </c>
      <c r="B814">
        <v>734</v>
      </c>
      <c r="C814" t="s">
        <v>150</v>
      </c>
      <c r="D814" s="5">
        <v>45599</v>
      </c>
      <c r="E814" t="s">
        <v>187</v>
      </c>
      <c r="F814">
        <v>8</v>
      </c>
      <c r="G814" t="str">
        <f>VLOOKUP(Table28[[#This Row],[SKU]],Supplier_Products[[#All],[Supplier]:[SKU]],3,FALSE)</f>
        <v>ShutterPro</v>
      </c>
      <c r="H814" t="str" cm="1">
        <f t="array" ref="H814">_xlfn.XLOOKUP(Table28[[#This Row],[SKU]],Supplier_Products[[#All],[SKU]],Supplier_Products[[#All],[Supplier]])</f>
        <v>ShutterPro</v>
      </c>
    </row>
    <row r="815" spans="1:8" x14ac:dyDescent="0.3">
      <c r="A815">
        <v>1814</v>
      </c>
      <c r="B815">
        <v>545</v>
      </c>
      <c r="C815" t="s">
        <v>142</v>
      </c>
      <c r="D815" s="5">
        <v>45608</v>
      </c>
      <c r="E815" t="s">
        <v>186</v>
      </c>
      <c r="F815">
        <v>12</v>
      </c>
      <c r="G815" t="str">
        <f>VLOOKUP(Table28[[#This Row],[SKU]],Supplier_Products[[#All],[Supplier]:[SKU]],3,FALSE)</f>
        <v>GPUForce</v>
      </c>
      <c r="H815" t="str" cm="1">
        <f t="array" ref="H815">_xlfn.XLOOKUP(Table28[[#This Row],[SKU]],Supplier_Products[[#All],[SKU]],Supplier_Products[[#All],[Supplier]])</f>
        <v>GPUForce</v>
      </c>
    </row>
    <row r="816" spans="1:8" x14ac:dyDescent="0.3">
      <c r="A816">
        <v>1815</v>
      </c>
      <c r="B816">
        <v>749</v>
      </c>
      <c r="C816" t="s">
        <v>140</v>
      </c>
      <c r="D816" s="5">
        <v>45544</v>
      </c>
      <c r="E816" t="s">
        <v>187</v>
      </c>
      <c r="F816">
        <v>9</v>
      </c>
      <c r="G816" t="str">
        <f>VLOOKUP(Table28[[#This Row],[SKU]],Supplier_Products[[#All],[Supplier]:[SKU]],3,FALSE)</f>
        <v>SoundWave</v>
      </c>
      <c r="H816" t="str" cm="1">
        <f t="array" ref="H816">_xlfn.XLOOKUP(Table28[[#This Row],[SKU]],Supplier_Products[[#All],[SKU]],Supplier_Products[[#All],[Supplier]])</f>
        <v>SoundWave</v>
      </c>
    </row>
    <row r="817" spans="1:8" x14ac:dyDescent="0.3">
      <c r="A817">
        <v>1816</v>
      </c>
      <c r="B817">
        <v>747</v>
      </c>
      <c r="C817" t="s">
        <v>137</v>
      </c>
      <c r="D817" s="5">
        <v>45552</v>
      </c>
      <c r="E817" t="s">
        <v>188</v>
      </c>
      <c r="F817">
        <v>12</v>
      </c>
      <c r="G817" t="str">
        <f>VLOOKUP(Table28[[#This Row],[SKU]],Supplier_Products[[#All],[Supplier]:[SKU]],3,FALSE)</f>
        <v>CleanBot</v>
      </c>
      <c r="H817" t="str" cm="1">
        <f t="array" ref="H817">_xlfn.XLOOKUP(Table28[[#This Row],[SKU]],Supplier_Products[[#All],[SKU]],Supplier_Products[[#All],[Supplier]])</f>
        <v>CleanBot</v>
      </c>
    </row>
    <row r="818" spans="1:8" x14ac:dyDescent="0.3">
      <c r="A818">
        <v>1817</v>
      </c>
      <c r="B818">
        <v>692</v>
      </c>
      <c r="C818" t="s">
        <v>133</v>
      </c>
      <c r="D818" s="5">
        <v>45533</v>
      </c>
      <c r="E818" t="s">
        <v>14</v>
      </c>
      <c r="F818">
        <v>11</v>
      </c>
      <c r="G818" t="str">
        <f>VLOOKUP(Table28[[#This Row],[SKU]],Supplier_Products[[#All],[Supplier]:[SKU]],3,FALSE)</f>
        <v>SafeTech</v>
      </c>
      <c r="H818" t="str" cm="1">
        <f t="array" ref="H818">_xlfn.XLOOKUP(Table28[[#This Row],[SKU]],Supplier_Products[[#All],[SKU]],Supplier_Products[[#All],[Supplier]])</f>
        <v>SafeTech</v>
      </c>
    </row>
    <row r="819" spans="1:8" x14ac:dyDescent="0.3">
      <c r="A819">
        <v>1818</v>
      </c>
      <c r="B819">
        <v>594</v>
      </c>
      <c r="C819" t="s">
        <v>148</v>
      </c>
      <c r="D819" s="5">
        <v>45601</v>
      </c>
      <c r="E819" t="s">
        <v>12</v>
      </c>
      <c r="F819">
        <v>2</v>
      </c>
      <c r="G819" t="str">
        <f>VLOOKUP(Table28[[#This Row],[SKU]],Supplier_Products[[#All],[Supplier]:[SKU]],3,FALSE)</f>
        <v>ChargePro</v>
      </c>
      <c r="H819" t="str" cm="1">
        <f t="array" ref="H819">_xlfn.XLOOKUP(Table28[[#This Row],[SKU]],Supplier_Products[[#All],[SKU]],Supplier_Products[[#All],[Supplier]])</f>
        <v>ChargePro</v>
      </c>
    </row>
    <row r="820" spans="1:8" x14ac:dyDescent="0.3">
      <c r="A820">
        <v>1819</v>
      </c>
      <c r="B820">
        <v>579</v>
      </c>
      <c r="C820" t="s">
        <v>117</v>
      </c>
      <c r="D820" s="5">
        <v>45576</v>
      </c>
      <c r="E820" t="s">
        <v>190</v>
      </c>
      <c r="F820">
        <v>6</v>
      </c>
      <c r="G820" t="str">
        <f>VLOOKUP(Table28[[#This Row],[SKU]],Supplier_Products[[#All],[Supplier]:[SKU]],3,FALSE)</f>
        <v>DataSafe</v>
      </c>
      <c r="H820" t="str" cm="1">
        <f t="array" ref="H820">_xlfn.XLOOKUP(Table28[[#This Row],[SKU]],Supplier_Products[[#All],[SKU]],Supplier_Products[[#All],[Supplier]])</f>
        <v>DataSafe</v>
      </c>
    </row>
    <row r="821" spans="1:8" x14ac:dyDescent="0.3">
      <c r="A821">
        <v>1820</v>
      </c>
      <c r="B821">
        <v>730</v>
      </c>
      <c r="C821" t="s">
        <v>178</v>
      </c>
      <c r="D821" s="5">
        <v>45377</v>
      </c>
      <c r="E821" t="s">
        <v>13</v>
      </c>
      <c r="F821">
        <v>19</v>
      </c>
      <c r="G821" t="str">
        <f>VLOOKUP(Table28[[#This Row],[SKU]],Supplier_Products[[#All],[Supplier]:[SKU]],3,FALSE)</f>
        <v>DockIt</v>
      </c>
      <c r="H821" t="str" cm="1">
        <f t="array" ref="H821">_xlfn.XLOOKUP(Table28[[#This Row],[SKU]],Supplier_Products[[#All],[SKU]],Supplier_Products[[#All],[Supplier]])</f>
        <v>DockIt</v>
      </c>
    </row>
    <row r="822" spans="1:8" x14ac:dyDescent="0.3">
      <c r="A822">
        <v>1821</v>
      </c>
      <c r="B822">
        <v>554</v>
      </c>
      <c r="C822" t="s">
        <v>145</v>
      </c>
      <c r="D822" s="5">
        <v>45395</v>
      </c>
      <c r="E822" t="s">
        <v>190</v>
      </c>
      <c r="F822">
        <v>5</v>
      </c>
      <c r="G822" t="str">
        <f>VLOOKUP(Table28[[#This Row],[SKU]],Supplier_Products[[#All],[Supplier]:[SKU]],3,FALSE)</f>
        <v>BrightHome</v>
      </c>
      <c r="H822" t="str" cm="1">
        <f t="array" ref="H822">_xlfn.XLOOKUP(Table28[[#This Row],[SKU]],Supplier_Products[[#All],[SKU]],Supplier_Products[[#All],[Supplier]])</f>
        <v>BrightHome</v>
      </c>
    </row>
    <row r="823" spans="1:8" x14ac:dyDescent="0.3">
      <c r="A823">
        <v>1822</v>
      </c>
      <c r="B823">
        <v>640</v>
      </c>
      <c r="C823" t="s">
        <v>169</v>
      </c>
      <c r="D823" s="5">
        <v>45451</v>
      </c>
      <c r="E823" t="s">
        <v>14</v>
      </c>
      <c r="F823">
        <v>4</v>
      </c>
      <c r="G823" t="str">
        <f>VLOOKUP(Table28[[#This Row],[SKU]],Supplier_Products[[#All],[Supplier]:[SKU]],3,FALSE)</f>
        <v>SafeDrive</v>
      </c>
      <c r="H823" t="str" cm="1">
        <f t="array" ref="H823">_xlfn.XLOOKUP(Table28[[#This Row],[SKU]],Supplier_Products[[#All],[SKU]],Supplier_Products[[#All],[Supplier]])</f>
        <v>SafeDrive</v>
      </c>
    </row>
    <row r="824" spans="1:8" x14ac:dyDescent="0.3">
      <c r="A824">
        <v>1823</v>
      </c>
      <c r="B824">
        <v>528</v>
      </c>
      <c r="C824" t="s">
        <v>184</v>
      </c>
      <c r="D824" s="5">
        <v>45546</v>
      </c>
      <c r="E824" t="s">
        <v>189</v>
      </c>
      <c r="F824">
        <v>15</v>
      </c>
      <c r="G824" t="str">
        <f>VLOOKUP(Table28[[#This Row],[SKU]],Supplier_Products[[#All],[Supplier]:[SKU]],3,FALSE)</f>
        <v>VisionTech</v>
      </c>
      <c r="H824" t="str" cm="1">
        <f t="array" ref="H824">_xlfn.XLOOKUP(Table28[[#This Row],[SKU]],Supplier_Products[[#All],[SKU]],Supplier_Products[[#All],[Supplier]])</f>
        <v>VisionTech</v>
      </c>
    </row>
    <row r="825" spans="1:8" x14ac:dyDescent="0.3">
      <c r="A825">
        <v>1824</v>
      </c>
      <c r="B825">
        <v>704</v>
      </c>
      <c r="C825" t="s">
        <v>160</v>
      </c>
      <c r="D825" s="5">
        <v>45480</v>
      </c>
      <c r="E825" t="s">
        <v>13</v>
      </c>
      <c r="F825">
        <v>17</v>
      </c>
      <c r="G825" t="str">
        <f>VLOOKUP(Table28[[#This Row],[SKU]],Supplier_Products[[#All],[Supplier]:[SKU]],3,FALSE)</f>
        <v>SoundCo</v>
      </c>
      <c r="H825" t="str" cm="1">
        <f t="array" ref="H825">_xlfn.XLOOKUP(Table28[[#This Row],[SKU]],Supplier_Products[[#All],[SKU]],Supplier_Products[[#All],[Supplier]])</f>
        <v>SoundCo</v>
      </c>
    </row>
    <row r="826" spans="1:8" x14ac:dyDescent="0.3">
      <c r="A826">
        <v>1825</v>
      </c>
      <c r="B826">
        <v>691</v>
      </c>
      <c r="C826" t="s">
        <v>10</v>
      </c>
      <c r="D826" s="5">
        <v>45294</v>
      </c>
      <c r="E826" t="s">
        <v>13</v>
      </c>
      <c r="F826">
        <v>10</v>
      </c>
      <c r="G826" t="str">
        <f>VLOOKUP(Table28[[#This Row],[SKU]],Supplier_Products[[#All],[Supplier]:[SKU]],3,FALSE)</f>
        <v>TabletMakers</v>
      </c>
      <c r="H826" t="str" cm="1">
        <f t="array" ref="H826">_xlfn.XLOOKUP(Table28[[#This Row],[SKU]],Supplier_Products[[#All],[SKU]],Supplier_Products[[#All],[Supplier]])</f>
        <v>TabletMakers</v>
      </c>
    </row>
    <row r="827" spans="1:8" x14ac:dyDescent="0.3">
      <c r="A827">
        <v>1826</v>
      </c>
      <c r="B827">
        <v>700</v>
      </c>
      <c r="C827" t="s">
        <v>173</v>
      </c>
      <c r="D827" s="5">
        <v>45370</v>
      </c>
      <c r="E827" t="s">
        <v>14</v>
      </c>
      <c r="F827">
        <v>19</v>
      </c>
      <c r="G827" t="str">
        <f>VLOOKUP(Table28[[#This Row],[SKU]],Supplier_Products[[#All],[Supplier]:[SKU]],3,FALSE)</f>
        <v>SafeTech</v>
      </c>
      <c r="H827" t="str" cm="1">
        <f t="array" ref="H827">_xlfn.XLOOKUP(Table28[[#This Row],[SKU]],Supplier_Products[[#All],[SKU]],Supplier_Products[[#All],[Supplier]])</f>
        <v>SafeTech</v>
      </c>
    </row>
    <row r="828" spans="1:8" x14ac:dyDescent="0.3">
      <c r="A828">
        <v>1827</v>
      </c>
      <c r="B828">
        <v>513</v>
      </c>
      <c r="C828" t="s">
        <v>121</v>
      </c>
      <c r="D828" s="5">
        <v>45616</v>
      </c>
      <c r="E828" t="s">
        <v>186</v>
      </c>
      <c r="F828">
        <v>19</v>
      </c>
      <c r="G828" t="str">
        <f>VLOOKUP(Table28[[#This Row],[SKU]],Supplier_Products[[#All],[Supplier]:[SKU]],3,FALSE)</f>
        <v>ClickTech</v>
      </c>
      <c r="H828" t="str" cm="1">
        <f t="array" ref="H828">_xlfn.XLOOKUP(Table28[[#This Row],[SKU]],Supplier_Products[[#All],[SKU]],Supplier_Products[[#All],[Supplier]])</f>
        <v>ClickTech</v>
      </c>
    </row>
    <row r="829" spans="1:8" x14ac:dyDescent="0.3">
      <c r="A829">
        <v>1828</v>
      </c>
      <c r="B829">
        <v>614</v>
      </c>
      <c r="C829" t="s">
        <v>8</v>
      </c>
      <c r="D829" s="5">
        <v>45500</v>
      </c>
      <c r="E829" t="s">
        <v>15</v>
      </c>
      <c r="F829">
        <v>3</v>
      </c>
      <c r="G829" t="str">
        <f>VLOOKUP(Table28[[#This Row],[SKU]],Supplier_Products[[#All],[Supplier]:[SKU]],3,FALSE)</f>
        <v>Wearable Inc.</v>
      </c>
      <c r="H829" t="str" cm="1">
        <f t="array" ref="H829">_xlfn.XLOOKUP(Table28[[#This Row],[SKU]],Supplier_Products[[#All],[SKU]],Supplier_Products[[#All],[Supplier]])</f>
        <v>Wearable Inc.</v>
      </c>
    </row>
    <row r="830" spans="1:8" x14ac:dyDescent="0.3">
      <c r="A830">
        <v>1829</v>
      </c>
      <c r="B830">
        <v>554</v>
      </c>
      <c r="C830" t="s">
        <v>7</v>
      </c>
      <c r="D830" s="5">
        <v>45325</v>
      </c>
      <c r="E830" t="s">
        <v>13</v>
      </c>
      <c r="F830">
        <v>11</v>
      </c>
      <c r="G830" t="str">
        <f>VLOOKUP(Table28[[#This Row],[SKU]],Supplier_Products[[#All],[Supplier]:[SKU]],3,FALSE)</f>
        <v>SoundCo</v>
      </c>
      <c r="H830" t="str" cm="1">
        <f t="array" ref="H830">_xlfn.XLOOKUP(Table28[[#This Row],[SKU]],Supplier_Products[[#All],[SKU]],Supplier_Products[[#All],[Supplier]])</f>
        <v>SoundCo</v>
      </c>
    </row>
    <row r="831" spans="1:8" x14ac:dyDescent="0.3">
      <c r="A831">
        <v>1830</v>
      </c>
      <c r="B831">
        <v>672</v>
      </c>
      <c r="C831" t="s">
        <v>110</v>
      </c>
      <c r="D831" s="5">
        <v>45516</v>
      </c>
      <c r="E831" t="s">
        <v>188</v>
      </c>
      <c r="F831">
        <v>6</v>
      </c>
      <c r="G831" t="str">
        <f>VLOOKUP(Table28[[#This Row],[SKU]],Supplier_Products[[#All],[Supplier]:[SKU]],3,FALSE)</f>
        <v>PlayMax</v>
      </c>
      <c r="H831" t="str" cm="1">
        <f t="array" ref="H831">_xlfn.XLOOKUP(Table28[[#This Row],[SKU]],Supplier_Products[[#All],[SKU]],Supplier_Products[[#All],[Supplier]])</f>
        <v>PlayMax</v>
      </c>
    </row>
    <row r="832" spans="1:8" x14ac:dyDescent="0.3">
      <c r="A832">
        <v>1831</v>
      </c>
      <c r="B832">
        <v>671</v>
      </c>
      <c r="C832" t="s">
        <v>73</v>
      </c>
      <c r="D832" s="5">
        <v>45626</v>
      </c>
      <c r="E832" t="s">
        <v>186</v>
      </c>
      <c r="F832">
        <v>7</v>
      </c>
      <c r="G832" t="str">
        <f>VLOOKUP(Table28[[#This Row],[SKU]],Supplier_Products[[#All],[Supplier]:[SKU]],3,FALSE)</f>
        <v>ClickTech</v>
      </c>
      <c r="H832" t="str" cm="1">
        <f t="array" ref="H832">_xlfn.XLOOKUP(Table28[[#This Row],[SKU]],Supplier_Products[[#All],[SKU]],Supplier_Products[[#All],[Supplier]])</f>
        <v>ClickTech</v>
      </c>
    </row>
    <row r="833" spans="1:8" x14ac:dyDescent="0.3">
      <c r="A833">
        <v>1832</v>
      </c>
      <c r="B833">
        <v>523</v>
      </c>
      <c r="C833" t="s">
        <v>160</v>
      </c>
      <c r="D833" s="5">
        <v>45600</v>
      </c>
      <c r="E833" t="s">
        <v>13</v>
      </c>
      <c r="F833">
        <v>1</v>
      </c>
      <c r="G833" t="str">
        <f>VLOOKUP(Table28[[#This Row],[SKU]],Supplier_Products[[#All],[Supplier]:[SKU]],3,FALSE)</f>
        <v>SoundCo</v>
      </c>
      <c r="H833" t="str" cm="1">
        <f t="array" ref="H833">_xlfn.XLOOKUP(Table28[[#This Row],[SKU]],Supplier_Products[[#All],[SKU]],Supplier_Products[[#All],[Supplier]])</f>
        <v>SoundCo</v>
      </c>
    </row>
    <row r="834" spans="1:8" x14ac:dyDescent="0.3">
      <c r="A834">
        <v>1833</v>
      </c>
      <c r="B834">
        <v>646</v>
      </c>
      <c r="C834" t="s">
        <v>73</v>
      </c>
      <c r="D834" s="5">
        <v>45402</v>
      </c>
      <c r="E834" t="s">
        <v>186</v>
      </c>
      <c r="F834">
        <v>3</v>
      </c>
      <c r="G834" t="str">
        <f>VLOOKUP(Table28[[#This Row],[SKU]],Supplier_Products[[#All],[Supplier]:[SKU]],3,FALSE)</f>
        <v>ClickTech</v>
      </c>
      <c r="H834" t="str" cm="1">
        <f t="array" ref="H834">_xlfn.XLOOKUP(Table28[[#This Row],[SKU]],Supplier_Products[[#All],[SKU]],Supplier_Products[[#All],[Supplier]])</f>
        <v>ClickTech</v>
      </c>
    </row>
    <row r="835" spans="1:8" x14ac:dyDescent="0.3">
      <c r="A835">
        <v>1834</v>
      </c>
      <c r="B835">
        <v>518</v>
      </c>
      <c r="C835" t="s">
        <v>129</v>
      </c>
      <c r="D835" s="5">
        <v>45322</v>
      </c>
      <c r="E835" t="s">
        <v>12</v>
      </c>
      <c r="F835">
        <v>7</v>
      </c>
      <c r="G835" t="str">
        <f>VLOOKUP(Table28[[#This Row],[SKU]],Supplier_Products[[#All],[Supplier]:[SKU]],3,FALSE)</f>
        <v>StreamIt</v>
      </c>
      <c r="H835" t="str" cm="1">
        <f t="array" ref="H835">_xlfn.XLOOKUP(Table28[[#This Row],[SKU]],Supplier_Products[[#All],[SKU]],Supplier_Products[[#All],[Supplier]])</f>
        <v>StreamIt</v>
      </c>
    </row>
    <row r="836" spans="1:8" x14ac:dyDescent="0.3">
      <c r="A836">
        <v>1835</v>
      </c>
      <c r="B836">
        <v>567</v>
      </c>
      <c r="C836" t="s">
        <v>148</v>
      </c>
      <c r="D836" s="5">
        <v>45453</v>
      </c>
      <c r="E836" t="s">
        <v>12</v>
      </c>
      <c r="F836">
        <v>10</v>
      </c>
      <c r="G836" t="str">
        <f>VLOOKUP(Table28[[#This Row],[SKU]],Supplier_Products[[#All],[Supplier]:[SKU]],3,FALSE)</f>
        <v>ChargePro</v>
      </c>
      <c r="H836" t="str" cm="1">
        <f t="array" ref="H836">_xlfn.XLOOKUP(Table28[[#This Row],[SKU]],Supplier_Products[[#All],[SKU]],Supplier_Products[[#All],[Supplier]])</f>
        <v>ChargePro</v>
      </c>
    </row>
    <row r="837" spans="1:8" x14ac:dyDescent="0.3">
      <c r="A837">
        <v>1836</v>
      </c>
      <c r="B837">
        <v>568</v>
      </c>
      <c r="C837" t="s">
        <v>184</v>
      </c>
      <c r="D837" s="5">
        <v>45438</v>
      </c>
      <c r="E837" t="s">
        <v>189</v>
      </c>
      <c r="F837">
        <v>13</v>
      </c>
      <c r="G837" t="str">
        <f>VLOOKUP(Table28[[#This Row],[SKU]],Supplier_Products[[#All],[Supplier]:[SKU]],3,FALSE)</f>
        <v>VisionTech</v>
      </c>
      <c r="H837" t="str" cm="1">
        <f t="array" ref="H837">_xlfn.XLOOKUP(Table28[[#This Row],[SKU]],Supplier_Products[[#All],[SKU]],Supplier_Products[[#All],[Supplier]])</f>
        <v>VisionTech</v>
      </c>
    </row>
    <row r="838" spans="1:8" x14ac:dyDescent="0.3">
      <c r="A838">
        <v>1837</v>
      </c>
      <c r="B838">
        <v>600</v>
      </c>
      <c r="C838" t="s">
        <v>114</v>
      </c>
      <c r="D838" s="5">
        <v>45517</v>
      </c>
      <c r="E838" t="s">
        <v>189</v>
      </c>
      <c r="F838">
        <v>10</v>
      </c>
      <c r="G838" t="str">
        <f>VLOOKUP(Table28[[#This Row],[SKU]],Supplier_Products[[#All],[Supplier]:[SKU]],3,FALSE)</f>
        <v>VisionTech</v>
      </c>
      <c r="H838" t="str" cm="1">
        <f t="array" ref="H838">_xlfn.XLOOKUP(Table28[[#This Row],[SKU]],Supplier_Products[[#All],[SKU]],Supplier_Products[[#All],[Supplier]])</f>
        <v>VisionTech</v>
      </c>
    </row>
    <row r="839" spans="1:8" x14ac:dyDescent="0.3">
      <c r="A839">
        <v>1838</v>
      </c>
      <c r="B839">
        <v>732</v>
      </c>
      <c r="C839" t="s">
        <v>126</v>
      </c>
      <c r="D839" s="5">
        <v>45308</v>
      </c>
      <c r="E839" t="s">
        <v>191</v>
      </c>
      <c r="F839">
        <v>14</v>
      </c>
      <c r="G839" t="str">
        <f>VLOOKUP(Table28[[#This Row],[SKU]],Supplier_Products[[#All],[Supplier]:[SKU]],3,FALSE)</f>
        <v>FitTech</v>
      </c>
      <c r="H839" t="str" cm="1">
        <f t="array" ref="H839">_xlfn.XLOOKUP(Table28[[#This Row],[SKU]],Supplier_Products[[#All],[SKU]],Supplier_Products[[#All],[Supplier]])</f>
        <v>FitTech</v>
      </c>
    </row>
    <row r="840" spans="1:8" x14ac:dyDescent="0.3">
      <c r="A840">
        <v>1839</v>
      </c>
      <c r="B840">
        <v>603</v>
      </c>
      <c r="C840" t="s">
        <v>142</v>
      </c>
      <c r="D840" s="5">
        <v>45559</v>
      </c>
      <c r="E840" t="s">
        <v>186</v>
      </c>
      <c r="F840">
        <v>4</v>
      </c>
      <c r="G840" t="str">
        <f>VLOOKUP(Table28[[#This Row],[SKU]],Supplier_Products[[#All],[Supplier]:[SKU]],3,FALSE)</f>
        <v>GPUForce</v>
      </c>
      <c r="H840" t="str" cm="1">
        <f t="array" ref="H840">_xlfn.XLOOKUP(Table28[[#This Row],[SKU]],Supplier_Products[[#All],[SKU]],Supplier_Products[[#All],[Supplier]])</f>
        <v>GPUForce</v>
      </c>
    </row>
    <row r="841" spans="1:8" x14ac:dyDescent="0.3">
      <c r="A841">
        <v>1840</v>
      </c>
      <c r="B841">
        <v>638</v>
      </c>
      <c r="C841" t="s">
        <v>178</v>
      </c>
      <c r="D841" s="5">
        <v>45629</v>
      </c>
      <c r="E841" t="s">
        <v>13</v>
      </c>
      <c r="F841">
        <v>2</v>
      </c>
      <c r="G841" t="str">
        <f>VLOOKUP(Table28[[#This Row],[SKU]],Supplier_Products[[#All],[Supplier]:[SKU]],3,FALSE)</f>
        <v>DockIt</v>
      </c>
      <c r="H841" t="str" cm="1">
        <f t="array" ref="H841">_xlfn.XLOOKUP(Table28[[#This Row],[SKU]],Supplier_Products[[#All],[SKU]],Supplier_Products[[#All],[Supplier]])</f>
        <v>DockIt</v>
      </c>
    </row>
    <row r="842" spans="1:8" x14ac:dyDescent="0.3">
      <c r="A842">
        <v>1841</v>
      </c>
      <c r="B842">
        <v>579</v>
      </c>
      <c r="C842" t="s">
        <v>6</v>
      </c>
      <c r="D842" s="5">
        <v>45539</v>
      </c>
      <c r="E842" t="s">
        <v>12</v>
      </c>
      <c r="F842">
        <v>4</v>
      </c>
      <c r="G842" t="str">
        <f>VLOOKUP(Table28[[#This Row],[SKU]],Supplier_Products[[#All],[Supplier]:[SKU]],3,FALSE)</f>
        <v>TechCorp</v>
      </c>
      <c r="H842" t="str" cm="1">
        <f t="array" ref="H842">_xlfn.XLOOKUP(Table28[[#This Row],[SKU]],Supplier_Products[[#All],[SKU]],Supplier_Products[[#All],[Supplier]])</f>
        <v>TechCorp</v>
      </c>
    </row>
    <row r="843" spans="1:8" x14ac:dyDescent="0.3">
      <c r="A843">
        <v>1842</v>
      </c>
      <c r="B843">
        <v>740</v>
      </c>
      <c r="C843" t="s">
        <v>73</v>
      </c>
      <c r="D843" s="5">
        <v>45322</v>
      </c>
      <c r="E843" t="s">
        <v>186</v>
      </c>
      <c r="F843">
        <v>16</v>
      </c>
      <c r="G843" t="str">
        <f>VLOOKUP(Table28[[#This Row],[SKU]],Supplier_Products[[#All],[Supplier]:[SKU]],3,FALSE)</f>
        <v>ClickTech</v>
      </c>
      <c r="H843" t="str" cm="1">
        <f t="array" ref="H843">_xlfn.XLOOKUP(Table28[[#This Row],[SKU]],Supplier_Products[[#All],[SKU]],Supplier_Products[[#All],[Supplier]])</f>
        <v>ClickTech</v>
      </c>
    </row>
    <row r="844" spans="1:8" x14ac:dyDescent="0.3">
      <c r="A844">
        <v>1843</v>
      </c>
      <c r="B844">
        <v>742</v>
      </c>
      <c r="C844" t="s">
        <v>169</v>
      </c>
      <c r="D844" s="5">
        <v>45618</v>
      </c>
      <c r="E844" t="s">
        <v>14</v>
      </c>
      <c r="F844">
        <v>5</v>
      </c>
      <c r="G844" t="str">
        <f>VLOOKUP(Table28[[#This Row],[SKU]],Supplier_Products[[#All],[Supplier]:[SKU]],3,FALSE)</f>
        <v>SafeDrive</v>
      </c>
      <c r="H844" t="str" cm="1">
        <f t="array" ref="H844">_xlfn.XLOOKUP(Table28[[#This Row],[SKU]],Supplier_Products[[#All],[SKU]],Supplier_Products[[#All],[Supplier]])</f>
        <v>SafeDrive</v>
      </c>
    </row>
    <row r="845" spans="1:8" x14ac:dyDescent="0.3">
      <c r="A845">
        <v>1844</v>
      </c>
      <c r="B845">
        <v>572</v>
      </c>
      <c r="C845" t="s">
        <v>145</v>
      </c>
      <c r="D845" s="5">
        <v>45409</v>
      </c>
      <c r="E845" t="s">
        <v>190</v>
      </c>
      <c r="F845">
        <v>3</v>
      </c>
      <c r="G845" t="str">
        <f>VLOOKUP(Table28[[#This Row],[SKU]],Supplier_Products[[#All],[Supplier]:[SKU]],3,FALSE)</f>
        <v>BrightHome</v>
      </c>
      <c r="H845" t="str" cm="1">
        <f t="array" ref="H845">_xlfn.XLOOKUP(Table28[[#This Row],[SKU]],Supplier_Products[[#All],[SKU]],Supplier_Products[[#All],[Supplier]])</f>
        <v>BrightHome</v>
      </c>
    </row>
    <row r="846" spans="1:8" x14ac:dyDescent="0.3">
      <c r="A846">
        <v>1845</v>
      </c>
      <c r="B846">
        <v>714</v>
      </c>
      <c r="C846" t="s">
        <v>154</v>
      </c>
      <c r="D846" s="5">
        <v>45501</v>
      </c>
      <c r="E846" t="s">
        <v>187</v>
      </c>
      <c r="F846">
        <v>6</v>
      </c>
      <c r="G846" t="str">
        <f>VLOOKUP(Table28[[#This Row],[SKU]],Supplier_Products[[#All],[Supplier]:[SKU]],3,FALSE)</f>
        <v>ShutterPro</v>
      </c>
      <c r="H846" t="str" cm="1">
        <f t="array" ref="H846">_xlfn.XLOOKUP(Table28[[#This Row],[SKU]],Supplier_Products[[#All],[SKU]],Supplier_Products[[#All],[Supplier]])</f>
        <v>ShutterPro</v>
      </c>
    </row>
    <row r="847" spans="1:8" x14ac:dyDescent="0.3">
      <c r="A847">
        <v>1846</v>
      </c>
      <c r="B847">
        <v>649</v>
      </c>
      <c r="C847" t="s">
        <v>145</v>
      </c>
      <c r="D847" s="5">
        <v>45328</v>
      </c>
      <c r="E847" t="s">
        <v>190</v>
      </c>
      <c r="F847">
        <v>15</v>
      </c>
      <c r="G847" t="str">
        <f>VLOOKUP(Table28[[#This Row],[SKU]],Supplier_Products[[#All],[Supplier]:[SKU]],3,FALSE)</f>
        <v>BrightHome</v>
      </c>
      <c r="H847" t="str" cm="1">
        <f t="array" ref="H847">_xlfn.XLOOKUP(Table28[[#This Row],[SKU]],Supplier_Products[[#All],[SKU]],Supplier_Products[[#All],[Supplier]])</f>
        <v>BrightHome</v>
      </c>
    </row>
    <row r="848" spans="1:8" x14ac:dyDescent="0.3">
      <c r="A848">
        <v>1847</v>
      </c>
      <c r="B848">
        <v>527</v>
      </c>
      <c r="C848" t="s">
        <v>158</v>
      </c>
      <c r="D848" s="5">
        <v>45477</v>
      </c>
      <c r="E848" t="s">
        <v>186</v>
      </c>
      <c r="F848">
        <v>16</v>
      </c>
      <c r="G848" t="str">
        <f>VLOOKUP(Table28[[#This Row],[SKU]],Supplier_Products[[#All],[Supplier]:[SKU]],3,FALSE)</f>
        <v>ClickTech</v>
      </c>
      <c r="H848" t="str" cm="1">
        <f t="array" ref="H848">_xlfn.XLOOKUP(Table28[[#This Row],[SKU]],Supplier_Products[[#All],[SKU]],Supplier_Products[[#All],[Supplier]])</f>
        <v>ClickTech</v>
      </c>
    </row>
    <row r="849" spans="1:8" x14ac:dyDescent="0.3">
      <c r="A849">
        <v>1848</v>
      </c>
      <c r="B849">
        <v>538</v>
      </c>
      <c r="C849" t="s">
        <v>117</v>
      </c>
      <c r="D849" s="5">
        <v>45627</v>
      </c>
      <c r="E849" t="s">
        <v>190</v>
      </c>
      <c r="F849">
        <v>9</v>
      </c>
      <c r="G849" t="str">
        <f>VLOOKUP(Table28[[#This Row],[SKU]],Supplier_Products[[#All],[Supplier]:[SKU]],3,FALSE)</f>
        <v>DataSafe</v>
      </c>
      <c r="H849" t="str" cm="1">
        <f t="array" ref="H849">_xlfn.XLOOKUP(Table28[[#This Row],[SKU]],Supplier_Products[[#All],[SKU]],Supplier_Products[[#All],[Supplier]])</f>
        <v>DataSafe</v>
      </c>
    </row>
    <row r="850" spans="1:8" x14ac:dyDescent="0.3">
      <c r="A850">
        <v>1849</v>
      </c>
      <c r="B850">
        <v>616</v>
      </c>
      <c r="C850" t="s">
        <v>10</v>
      </c>
      <c r="D850" s="5">
        <v>45462</v>
      </c>
      <c r="E850" t="s">
        <v>13</v>
      </c>
      <c r="F850">
        <v>5</v>
      </c>
      <c r="G850" t="str">
        <f>VLOOKUP(Table28[[#This Row],[SKU]],Supplier_Products[[#All],[Supplier]:[SKU]],3,FALSE)</f>
        <v>TabletMakers</v>
      </c>
      <c r="H850" t="str" cm="1">
        <f t="array" ref="H850">_xlfn.XLOOKUP(Table28[[#This Row],[SKU]],Supplier_Products[[#All],[SKU]],Supplier_Products[[#All],[Supplier]])</f>
        <v>TabletMakers</v>
      </c>
    </row>
    <row r="851" spans="1:8" x14ac:dyDescent="0.3">
      <c r="A851">
        <v>1850</v>
      </c>
      <c r="B851">
        <v>741</v>
      </c>
      <c r="C851" t="s">
        <v>72</v>
      </c>
      <c r="D851" s="5">
        <v>45400</v>
      </c>
      <c r="E851" t="s">
        <v>187</v>
      </c>
      <c r="F851">
        <v>4</v>
      </c>
      <c r="G851" t="str">
        <f>VLOOKUP(Table28[[#This Row],[SKU]],Supplier_Products[[#All],[Supplier]:[SKU]],3,FALSE)</f>
        <v>SoundWave</v>
      </c>
      <c r="H851" t="str" cm="1">
        <f t="array" ref="H851">_xlfn.XLOOKUP(Table28[[#This Row],[SKU]],Supplier_Products[[#All],[SKU]],Supplier_Products[[#All],[Supplier]])</f>
        <v>SoundWave</v>
      </c>
    </row>
    <row r="852" spans="1:8" x14ac:dyDescent="0.3">
      <c r="A852">
        <v>1851</v>
      </c>
      <c r="B852">
        <v>538</v>
      </c>
      <c r="C852" t="s">
        <v>178</v>
      </c>
      <c r="D852" s="5">
        <v>45645</v>
      </c>
      <c r="E852" t="s">
        <v>13</v>
      </c>
      <c r="F852">
        <v>4</v>
      </c>
      <c r="G852" t="str">
        <f>VLOOKUP(Table28[[#This Row],[SKU]],Supplier_Products[[#All],[Supplier]:[SKU]],3,FALSE)</f>
        <v>DockIt</v>
      </c>
      <c r="H852" t="str" cm="1">
        <f t="array" ref="H852">_xlfn.XLOOKUP(Table28[[#This Row],[SKU]],Supplier_Products[[#All],[SKU]],Supplier_Products[[#All],[Supplier]])</f>
        <v>DockIt</v>
      </c>
    </row>
    <row r="853" spans="1:8" x14ac:dyDescent="0.3">
      <c r="A853">
        <v>1852</v>
      </c>
      <c r="B853">
        <v>731</v>
      </c>
      <c r="C853" t="s">
        <v>178</v>
      </c>
      <c r="D853" s="5">
        <v>45645</v>
      </c>
      <c r="E853" t="s">
        <v>13</v>
      </c>
      <c r="F853">
        <v>3</v>
      </c>
      <c r="G853" t="str">
        <f>VLOOKUP(Table28[[#This Row],[SKU]],Supplier_Products[[#All],[Supplier]:[SKU]],3,FALSE)</f>
        <v>DockIt</v>
      </c>
      <c r="H853" t="str" cm="1">
        <f t="array" ref="H853">_xlfn.XLOOKUP(Table28[[#This Row],[SKU]],Supplier_Products[[#All],[SKU]],Supplier_Products[[#All],[Supplier]])</f>
        <v>DockIt</v>
      </c>
    </row>
    <row r="854" spans="1:8" x14ac:dyDescent="0.3">
      <c r="A854">
        <v>1853</v>
      </c>
      <c r="B854">
        <v>675</v>
      </c>
      <c r="C854" t="s">
        <v>129</v>
      </c>
      <c r="D854" s="5">
        <v>45321</v>
      </c>
      <c r="E854" t="s">
        <v>12</v>
      </c>
      <c r="F854">
        <v>7</v>
      </c>
      <c r="G854" t="str">
        <f>VLOOKUP(Table28[[#This Row],[SKU]],Supplier_Products[[#All],[Supplier]:[SKU]],3,FALSE)</f>
        <v>StreamIt</v>
      </c>
      <c r="H854" t="str" cm="1">
        <f t="array" ref="H854">_xlfn.XLOOKUP(Table28[[#This Row],[SKU]],Supplier_Products[[#All],[SKU]],Supplier_Products[[#All],[Supplier]])</f>
        <v>StreamIt</v>
      </c>
    </row>
    <row r="855" spans="1:8" x14ac:dyDescent="0.3">
      <c r="A855">
        <v>1854</v>
      </c>
      <c r="B855">
        <v>629</v>
      </c>
      <c r="C855" t="s">
        <v>129</v>
      </c>
      <c r="D855" s="5">
        <v>45478</v>
      </c>
      <c r="E855" t="s">
        <v>12</v>
      </c>
      <c r="F855">
        <v>15</v>
      </c>
      <c r="G855" t="str">
        <f>VLOOKUP(Table28[[#This Row],[SKU]],Supplier_Products[[#All],[Supplier]:[SKU]],3,FALSE)</f>
        <v>StreamIt</v>
      </c>
      <c r="H855" t="str" cm="1">
        <f t="array" ref="H855">_xlfn.XLOOKUP(Table28[[#This Row],[SKU]],Supplier_Products[[#All],[SKU]],Supplier_Products[[#All],[Supplier]])</f>
        <v>StreamIt</v>
      </c>
    </row>
    <row r="856" spans="1:8" x14ac:dyDescent="0.3">
      <c r="A856">
        <v>1855</v>
      </c>
      <c r="B856">
        <v>733</v>
      </c>
      <c r="C856" t="s">
        <v>169</v>
      </c>
      <c r="D856" s="5">
        <v>45427</v>
      </c>
      <c r="E856" t="s">
        <v>14</v>
      </c>
      <c r="F856">
        <v>16</v>
      </c>
      <c r="G856" t="str">
        <f>VLOOKUP(Table28[[#This Row],[SKU]],Supplier_Products[[#All],[Supplier]:[SKU]],3,FALSE)</f>
        <v>SafeDrive</v>
      </c>
      <c r="H856" t="str" cm="1">
        <f t="array" ref="H856">_xlfn.XLOOKUP(Table28[[#This Row],[SKU]],Supplier_Products[[#All],[SKU]],Supplier_Products[[#All],[Supplier]])</f>
        <v>SafeDrive</v>
      </c>
    </row>
    <row r="857" spans="1:8" x14ac:dyDescent="0.3">
      <c r="A857">
        <v>1856</v>
      </c>
      <c r="B857">
        <v>534</v>
      </c>
      <c r="C857" t="s">
        <v>173</v>
      </c>
      <c r="D857" s="5">
        <v>45566</v>
      </c>
      <c r="E857" t="s">
        <v>14</v>
      </c>
      <c r="F857">
        <v>9</v>
      </c>
      <c r="G857" t="str">
        <f>VLOOKUP(Table28[[#This Row],[SKU]],Supplier_Products[[#All],[Supplier]:[SKU]],3,FALSE)</f>
        <v>SafeTech</v>
      </c>
      <c r="H857" t="str" cm="1">
        <f t="array" ref="H857">_xlfn.XLOOKUP(Table28[[#This Row],[SKU]],Supplier_Products[[#All],[SKU]],Supplier_Products[[#All],[Supplier]])</f>
        <v>SafeTech</v>
      </c>
    </row>
    <row r="858" spans="1:8" x14ac:dyDescent="0.3">
      <c r="A858">
        <v>1857</v>
      </c>
      <c r="B858">
        <v>658</v>
      </c>
      <c r="C858" t="s">
        <v>140</v>
      </c>
      <c r="D858" s="5">
        <v>45524</v>
      </c>
      <c r="E858" t="s">
        <v>187</v>
      </c>
      <c r="F858">
        <v>14</v>
      </c>
      <c r="G858" t="str">
        <f>VLOOKUP(Table28[[#This Row],[SKU]],Supplier_Products[[#All],[Supplier]:[SKU]],3,FALSE)</f>
        <v>SoundWave</v>
      </c>
      <c r="H858" t="str" cm="1">
        <f t="array" ref="H858">_xlfn.XLOOKUP(Table28[[#This Row],[SKU]],Supplier_Products[[#All],[SKU]],Supplier_Products[[#All],[Supplier]])</f>
        <v>SoundWave</v>
      </c>
    </row>
    <row r="859" spans="1:8" x14ac:dyDescent="0.3">
      <c r="A859">
        <v>1858</v>
      </c>
      <c r="B859">
        <v>525</v>
      </c>
      <c r="C859" t="s">
        <v>184</v>
      </c>
      <c r="D859" s="5">
        <v>45396</v>
      </c>
      <c r="E859" t="s">
        <v>189</v>
      </c>
      <c r="F859">
        <v>18</v>
      </c>
      <c r="G859" t="str">
        <f>VLOOKUP(Table28[[#This Row],[SKU]],Supplier_Products[[#All],[Supplier]:[SKU]],3,FALSE)</f>
        <v>VisionTech</v>
      </c>
      <c r="H859" t="str" cm="1">
        <f t="array" ref="H859">_xlfn.XLOOKUP(Table28[[#This Row],[SKU]],Supplier_Products[[#All],[SKU]],Supplier_Products[[#All],[Supplier]])</f>
        <v>VisionTech</v>
      </c>
    </row>
    <row r="860" spans="1:8" x14ac:dyDescent="0.3">
      <c r="A860">
        <v>1859</v>
      </c>
      <c r="B860">
        <v>527</v>
      </c>
      <c r="C860" t="s">
        <v>7</v>
      </c>
      <c r="D860" s="5">
        <v>45377</v>
      </c>
      <c r="E860" t="s">
        <v>13</v>
      </c>
      <c r="F860">
        <v>3</v>
      </c>
      <c r="G860" t="str">
        <f>VLOOKUP(Table28[[#This Row],[SKU]],Supplier_Products[[#All],[Supplier]:[SKU]],3,FALSE)</f>
        <v>SoundCo</v>
      </c>
      <c r="H860" t="str" cm="1">
        <f t="array" ref="H860">_xlfn.XLOOKUP(Table28[[#This Row],[SKU]],Supplier_Products[[#All],[SKU]],Supplier_Products[[#All],[Supplier]])</f>
        <v>SoundCo</v>
      </c>
    </row>
    <row r="861" spans="1:8" x14ac:dyDescent="0.3">
      <c r="A861">
        <v>1860</v>
      </c>
      <c r="B861">
        <v>659</v>
      </c>
      <c r="C861" t="s">
        <v>137</v>
      </c>
      <c r="D861" s="5">
        <v>45449</v>
      </c>
      <c r="E861" t="s">
        <v>188</v>
      </c>
      <c r="F861">
        <v>9</v>
      </c>
      <c r="G861" t="str">
        <f>VLOOKUP(Table28[[#This Row],[SKU]],Supplier_Products[[#All],[Supplier]:[SKU]],3,FALSE)</f>
        <v>CleanBot</v>
      </c>
      <c r="H861" t="str" cm="1">
        <f t="array" ref="H861">_xlfn.XLOOKUP(Table28[[#This Row],[SKU]],Supplier_Products[[#All],[SKU]],Supplier_Products[[#All],[Supplier]])</f>
        <v>CleanBot</v>
      </c>
    </row>
    <row r="862" spans="1:8" x14ac:dyDescent="0.3">
      <c r="A862">
        <v>1861</v>
      </c>
      <c r="B862">
        <v>506</v>
      </c>
      <c r="C862" t="s">
        <v>137</v>
      </c>
      <c r="D862" s="5">
        <v>45478</v>
      </c>
      <c r="E862" t="s">
        <v>188</v>
      </c>
      <c r="F862">
        <v>1</v>
      </c>
      <c r="G862" t="str">
        <f>VLOOKUP(Table28[[#This Row],[SKU]],Supplier_Products[[#All],[Supplier]:[SKU]],3,FALSE)</f>
        <v>CleanBot</v>
      </c>
      <c r="H862" t="str" cm="1">
        <f t="array" ref="H862">_xlfn.XLOOKUP(Table28[[#This Row],[SKU]],Supplier_Products[[#All],[SKU]],Supplier_Products[[#All],[Supplier]])</f>
        <v>CleanBot</v>
      </c>
    </row>
    <row r="863" spans="1:8" x14ac:dyDescent="0.3">
      <c r="A863">
        <v>1862</v>
      </c>
      <c r="B863">
        <v>702</v>
      </c>
      <c r="C863" t="s">
        <v>110</v>
      </c>
      <c r="D863" s="5">
        <v>45347</v>
      </c>
      <c r="E863" t="s">
        <v>188</v>
      </c>
      <c r="F863">
        <v>19</v>
      </c>
      <c r="G863" t="str">
        <f>VLOOKUP(Table28[[#This Row],[SKU]],Supplier_Products[[#All],[Supplier]:[SKU]],3,FALSE)</f>
        <v>PlayMax</v>
      </c>
      <c r="H863" t="str" cm="1">
        <f t="array" ref="H863">_xlfn.XLOOKUP(Table28[[#This Row],[SKU]],Supplier_Products[[#All],[SKU]],Supplier_Products[[#All],[Supplier]])</f>
        <v>PlayMax</v>
      </c>
    </row>
    <row r="864" spans="1:8" x14ac:dyDescent="0.3">
      <c r="A864">
        <v>1863</v>
      </c>
      <c r="B864">
        <v>586</v>
      </c>
      <c r="C864" t="s">
        <v>73</v>
      </c>
      <c r="D864" s="5">
        <v>45470</v>
      </c>
      <c r="E864" t="s">
        <v>186</v>
      </c>
      <c r="F864">
        <v>18</v>
      </c>
      <c r="G864" t="str">
        <f>VLOOKUP(Table28[[#This Row],[SKU]],Supplier_Products[[#All],[Supplier]:[SKU]],3,FALSE)</f>
        <v>ClickTech</v>
      </c>
      <c r="H864" t="str" cm="1">
        <f t="array" ref="H864">_xlfn.XLOOKUP(Table28[[#This Row],[SKU]],Supplier_Products[[#All],[SKU]],Supplier_Products[[#All],[Supplier]])</f>
        <v>ClickTech</v>
      </c>
    </row>
    <row r="865" spans="1:8" x14ac:dyDescent="0.3">
      <c r="A865">
        <v>1864</v>
      </c>
      <c r="B865">
        <v>601</v>
      </c>
      <c r="C865" t="s">
        <v>162</v>
      </c>
      <c r="D865" s="5">
        <v>45500</v>
      </c>
      <c r="E865" t="s">
        <v>189</v>
      </c>
      <c r="F865">
        <v>18</v>
      </c>
      <c r="G865" t="str">
        <f>VLOOKUP(Table28[[#This Row],[SKU]],Supplier_Products[[#All],[Supplier]:[SKU]],3,FALSE)</f>
        <v>AeroTech</v>
      </c>
      <c r="H865" t="str" cm="1">
        <f t="array" ref="H865">_xlfn.XLOOKUP(Table28[[#This Row],[SKU]],Supplier_Products[[#All],[SKU]],Supplier_Products[[#All],[Supplier]])</f>
        <v>AeroTech</v>
      </c>
    </row>
    <row r="866" spans="1:8" x14ac:dyDescent="0.3">
      <c r="A866">
        <v>1865</v>
      </c>
      <c r="B866">
        <v>570</v>
      </c>
      <c r="C866" t="s">
        <v>160</v>
      </c>
      <c r="D866" s="5">
        <v>45452</v>
      </c>
      <c r="E866" t="s">
        <v>13</v>
      </c>
      <c r="F866">
        <v>6</v>
      </c>
      <c r="G866" t="str">
        <f>VLOOKUP(Table28[[#This Row],[SKU]],Supplier_Products[[#All],[Supplier]:[SKU]],3,FALSE)</f>
        <v>SoundCo</v>
      </c>
      <c r="H866" t="str" cm="1">
        <f t="array" ref="H866">_xlfn.XLOOKUP(Table28[[#This Row],[SKU]],Supplier_Products[[#All],[SKU]],Supplier_Products[[#All],[Supplier]])</f>
        <v>SoundCo</v>
      </c>
    </row>
    <row r="867" spans="1:8" x14ac:dyDescent="0.3">
      <c r="A867">
        <v>1866</v>
      </c>
      <c r="B867">
        <v>636</v>
      </c>
      <c r="C867" t="s">
        <v>7</v>
      </c>
      <c r="D867" s="5">
        <v>45298</v>
      </c>
      <c r="E867" t="s">
        <v>13</v>
      </c>
      <c r="F867">
        <v>4</v>
      </c>
      <c r="G867" t="str">
        <f>VLOOKUP(Table28[[#This Row],[SKU]],Supplier_Products[[#All],[Supplier]:[SKU]],3,FALSE)</f>
        <v>SoundCo</v>
      </c>
      <c r="H867" t="str" cm="1">
        <f t="array" ref="H867">_xlfn.XLOOKUP(Table28[[#This Row],[SKU]],Supplier_Products[[#All],[SKU]],Supplier_Products[[#All],[Supplier]])</f>
        <v>SoundCo</v>
      </c>
    </row>
    <row r="868" spans="1:8" x14ac:dyDescent="0.3">
      <c r="A868">
        <v>1867</v>
      </c>
      <c r="B868">
        <v>563</v>
      </c>
      <c r="C868" t="s">
        <v>156</v>
      </c>
      <c r="D868" s="5">
        <v>45445</v>
      </c>
      <c r="E868" t="s">
        <v>186</v>
      </c>
      <c r="F868">
        <v>5</v>
      </c>
      <c r="G868" t="str">
        <f>VLOOKUP(Table28[[#This Row],[SKU]],Supplier_Products[[#All],[Supplier]:[SKU]],3,FALSE)</f>
        <v>ClickTech</v>
      </c>
      <c r="H868" t="str" cm="1">
        <f t="array" ref="H868">_xlfn.XLOOKUP(Table28[[#This Row],[SKU]],Supplier_Products[[#All],[SKU]],Supplier_Products[[#All],[Supplier]])</f>
        <v>ClickTech</v>
      </c>
    </row>
    <row r="869" spans="1:8" x14ac:dyDescent="0.3">
      <c r="A869">
        <v>1868</v>
      </c>
      <c r="B869">
        <v>565</v>
      </c>
      <c r="C869" t="s">
        <v>175</v>
      </c>
      <c r="D869" s="5">
        <v>45574</v>
      </c>
      <c r="E869" t="s">
        <v>186</v>
      </c>
      <c r="F869">
        <v>6</v>
      </c>
      <c r="G869" t="str">
        <f>VLOOKUP(Table28[[#This Row],[SKU]],Supplier_Products[[#All],[Supplier]:[SKU]],3,FALSE)</f>
        <v>DisplayPro</v>
      </c>
      <c r="H869" t="str" cm="1">
        <f t="array" ref="H869">_xlfn.XLOOKUP(Table28[[#This Row],[SKU]],Supplier_Products[[#All],[SKU]],Supplier_Products[[#All],[Supplier]])</f>
        <v>DisplayPro</v>
      </c>
    </row>
    <row r="870" spans="1:8" x14ac:dyDescent="0.3">
      <c r="A870">
        <v>1869</v>
      </c>
      <c r="B870">
        <v>698</v>
      </c>
      <c r="C870" t="s">
        <v>160</v>
      </c>
      <c r="D870" s="5">
        <v>45573</v>
      </c>
      <c r="E870" t="s">
        <v>13</v>
      </c>
      <c r="F870">
        <v>9</v>
      </c>
      <c r="G870" t="str">
        <f>VLOOKUP(Table28[[#This Row],[SKU]],Supplier_Products[[#All],[Supplier]:[SKU]],3,FALSE)</f>
        <v>SoundCo</v>
      </c>
      <c r="H870" t="str" cm="1">
        <f t="array" ref="H870">_xlfn.XLOOKUP(Table28[[#This Row],[SKU]],Supplier_Products[[#All],[SKU]],Supplier_Products[[#All],[Supplier]])</f>
        <v>SoundCo</v>
      </c>
    </row>
    <row r="871" spans="1:8" x14ac:dyDescent="0.3">
      <c r="A871">
        <v>1870</v>
      </c>
      <c r="B871">
        <v>622</v>
      </c>
      <c r="C871" t="s">
        <v>7</v>
      </c>
      <c r="D871" s="5">
        <v>45311</v>
      </c>
      <c r="E871" t="s">
        <v>13</v>
      </c>
      <c r="F871">
        <v>15</v>
      </c>
      <c r="G871" t="str">
        <f>VLOOKUP(Table28[[#This Row],[SKU]],Supplier_Products[[#All],[Supplier]:[SKU]],3,FALSE)</f>
        <v>SoundCo</v>
      </c>
      <c r="H871" t="str" cm="1">
        <f t="array" ref="H871">_xlfn.XLOOKUP(Table28[[#This Row],[SKU]],Supplier_Products[[#All],[SKU]],Supplier_Products[[#All],[Supplier]])</f>
        <v>SoundCo</v>
      </c>
    </row>
    <row r="872" spans="1:8" x14ac:dyDescent="0.3">
      <c r="A872">
        <v>1871</v>
      </c>
      <c r="B872">
        <v>539</v>
      </c>
      <c r="C872" t="s">
        <v>162</v>
      </c>
      <c r="D872" s="5">
        <v>45325</v>
      </c>
      <c r="E872" t="s">
        <v>189</v>
      </c>
      <c r="F872">
        <v>7</v>
      </c>
      <c r="G872" t="str">
        <f>VLOOKUP(Table28[[#This Row],[SKU]],Supplier_Products[[#All],[Supplier]:[SKU]],3,FALSE)</f>
        <v>AeroTech</v>
      </c>
      <c r="H872" t="str" cm="1">
        <f t="array" ref="H872">_xlfn.XLOOKUP(Table28[[#This Row],[SKU]],Supplier_Products[[#All],[SKU]],Supplier_Products[[#All],[Supplier]])</f>
        <v>AeroTech</v>
      </c>
    </row>
    <row r="873" spans="1:8" x14ac:dyDescent="0.3">
      <c r="A873">
        <v>1872</v>
      </c>
      <c r="B873">
        <v>626</v>
      </c>
      <c r="C873" t="s">
        <v>126</v>
      </c>
      <c r="D873" s="5">
        <v>45643</v>
      </c>
      <c r="E873" t="s">
        <v>191</v>
      </c>
      <c r="F873">
        <v>12</v>
      </c>
      <c r="G873" t="str">
        <f>VLOOKUP(Table28[[#This Row],[SKU]],Supplier_Products[[#All],[Supplier]:[SKU]],3,FALSE)</f>
        <v>FitTech</v>
      </c>
      <c r="H873" t="str" cm="1">
        <f t="array" ref="H873">_xlfn.XLOOKUP(Table28[[#This Row],[SKU]],Supplier_Products[[#All],[SKU]],Supplier_Products[[#All],[Supplier]])</f>
        <v>FitTech</v>
      </c>
    </row>
    <row r="874" spans="1:8" x14ac:dyDescent="0.3">
      <c r="A874">
        <v>1873</v>
      </c>
      <c r="B874">
        <v>581</v>
      </c>
      <c r="C874" t="s">
        <v>162</v>
      </c>
      <c r="D874" s="5">
        <v>45479</v>
      </c>
      <c r="E874" t="s">
        <v>189</v>
      </c>
      <c r="F874">
        <v>18</v>
      </c>
      <c r="G874" t="str">
        <f>VLOOKUP(Table28[[#This Row],[SKU]],Supplier_Products[[#All],[Supplier]:[SKU]],3,FALSE)</f>
        <v>AeroTech</v>
      </c>
      <c r="H874" t="str" cm="1">
        <f t="array" ref="H874">_xlfn.XLOOKUP(Table28[[#This Row],[SKU]],Supplier_Products[[#All],[SKU]],Supplier_Products[[#All],[Supplier]])</f>
        <v>AeroTech</v>
      </c>
    </row>
    <row r="875" spans="1:8" x14ac:dyDescent="0.3">
      <c r="A875">
        <v>1874</v>
      </c>
      <c r="B875">
        <v>697</v>
      </c>
      <c r="C875" t="s">
        <v>9</v>
      </c>
      <c r="D875" s="5">
        <v>45650</v>
      </c>
      <c r="E875" t="s">
        <v>14</v>
      </c>
      <c r="F875">
        <v>6</v>
      </c>
      <c r="G875" t="str">
        <f>VLOOKUP(Table28[[#This Row],[SKU]],Supplier_Products[[#All],[Supplier]:[SKU]],3,FALSE)</f>
        <v>CompuTech</v>
      </c>
      <c r="H875" t="str" cm="1">
        <f t="array" ref="H875">_xlfn.XLOOKUP(Table28[[#This Row],[SKU]],Supplier_Products[[#All],[SKU]],Supplier_Products[[#All],[Supplier]])</f>
        <v>CompuTech</v>
      </c>
    </row>
    <row r="876" spans="1:8" x14ac:dyDescent="0.3">
      <c r="A876">
        <v>1875</v>
      </c>
      <c r="B876">
        <v>712</v>
      </c>
      <c r="C876" t="s">
        <v>162</v>
      </c>
      <c r="D876" s="5">
        <v>45618</v>
      </c>
      <c r="E876" t="s">
        <v>189</v>
      </c>
      <c r="F876">
        <v>14</v>
      </c>
      <c r="G876" t="str">
        <f>VLOOKUP(Table28[[#This Row],[SKU]],Supplier_Products[[#All],[Supplier]:[SKU]],3,FALSE)</f>
        <v>AeroTech</v>
      </c>
      <c r="H876" t="str" cm="1">
        <f t="array" ref="H876">_xlfn.XLOOKUP(Table28[[#This Row],[SKU]],Supplier_Products[[#All],[SKU]],Supplier_Products[[#All],[Supplier]])</f>
        <v>AeroTech</v>
      </c>
    </row>
    <row r="877" spans="1:8" x14ac:dyDescent="0.3">
      <c r="A877">
        <v>1876</v>
      </c>
      <c r="B877">
        <v>567</v>
      </c>
      <c r="C877" t="s">
        <v>121</v>
      </c>
      <c r="D877" s="5">
        <v>45656</v>
      </c>
      <c r="E877" t="s">
        <v>186</v>
      </c>
      <c r="F877">
        <v>12</v>
      </c>
      <c r="G877" t="str">
        <f>VLOOKUP(Table28[[#This Row],[SKU]],Supplier_Products[[#All],[Supplier]:[SKU]],3,FALSE)</f>
        <v>ClickTech</v>
      </c>
      <c r="H877" t="str" cm="1">
        <f t="array" ref="H877">_xlfn.XLOOKUP(Table28[[#This Row],[SKU]],Supplier_Products[[#All],[SKU]],Supplier_Products[[#All],[Supplier]])</f>
        <v>ClickTech</v>
      </c>
    </row>
    <row r="878" spans="1:8" x14ac:dyDescent="0.3">
      <c r="A878">
        <v>1877</v>
      </c>
      <c r="B878">
        <v>671</v>
      </c>
      <c r="C878" t="s">
        <v>156</v>
      </c>
      <c r="D878" s="5">
        <v>45324</v>
      </c>
      <c r="E878" t="s">
        <v>186</v>
      </c>
      <c r="F878">
        <v>2</v>
      </c>
      <c r="G878" t="str">
        <f>VLOOKUP(Table28[[#This Row],[SKU]],Supplier_Products[[#All],[Supplier]:[SKU]],3,FALSE)</f>
        <v>ClickTech</v>
      </c>
      <c r="H878" t="str" cm="1">
        <f t="array" ref="H878">_xlfn.XLOOKUP(Table28[[#This Row],[SKU]],Supplier_Products[[#All],[SKU]],Supplier_Products[[#All],[Supplier]])</f>
        <v>ClickTech</v>
      </c>
    </row>
    <row r="879" spans="1:8" x14ac:dyDescent="0.3">
      <c r="A879">
        <v>1878</v>
      </c>
      <c r="B879">
        <v>679</v>
      </c>
      <c r="C879" t="s">
        <v>114</v>
      </c>
      <c r="D879" s="5">
        <v>45491</v>
      </c>
      <c r="E879" t="s">
        <v>189</v>
      </c>
      <c r="F879">
        <v>13</v>
      </c>
      <c r="G879" t="str">
        <f>VLOOKUP(Table28[[#This Row],[SKU]],Supplier_Products[[#All],[Supplier]:[SKU]],3,FALSE)</f>
        <v>VisionTech</v>
      </c>
      <c r="H879" t="str" cm="1">
        <f t="array" ref="H879">_xlfn.XLOOKUP(Table28[[#This Row],[SKU]],Supplier_Products[[#All],[SKU]],Supplier_Products[[#All],[Supplier]])</f>
        <v>VisionTech</v>
      </c>
    </row>
    <row r="880" spans="1:8" x14ac:dyDescent="0.3">
      <c r="A880">
        <v>1879</v>
      </c>
      <c r="B880">
        <v>502</v>
      </c>
      <c r="C880" t="s">
        <v>166</v>
      </c>
      <c r="D880" s="5">
        <v>45649</v>
      </c>
      <c r="E880" t="s">
        <v>191</v>
      </c>
      <c r="F880">
        <v>5</v>
      </c>
      <c r="G880" t="str">
        <f>VLOOKUP(Table28[[#This Row],[SKU]],Supplier_Products[[#All],[Supplier]:[SKU]],3,FALSE)</f>
        <v>BookTech</v>
      </c>
      <c r="H880" t="str" cm="1">
        <f t="array" ref="H880">_xlfn.XLOOKUP(Table28[[#This Row],[SKU]],Supplier_Products[[#All],[SKU]],Supplier_Products[[#All],[Supplier]])</f>
        <v>BookTech</v>
      </c>
    </row>
    <row r="881" spans="1:8" x14ac:dyDescent="0.3">
      <c r="A881">
        <v>1880</v>
      </c>
      <c r="B881">
        <v>559</v>
      </c>
      <c r="C881" t="s">
        <v>166</v>
      </c>
      <c r="D881" s="5">
        <v>45429</v>
      </c>
      <c r="E881" t="s">
        <v>191</v>
      </c>
      <c r="F881">
        <v>9</v>
      </c>
      <c r="G881" t="str">
        <f>VLOOKUP(Table28[[#This Row],[SKU]],Supplier_Products[[#All],[Supplier]:[SKU]],3,FALSE)</f>
        <v>BookTech</v>
      </c>
      <c r="H881" t="str" cm="1">
        <f t="array" ref="H881">_xlfn.XLOOKUP(Table28[[#This Row],[SKU]],Supplier_Products[[#All],[SKU]],Supplier_Products[[#All],[Supplier]])</f>
        <v>BookTech</v>
      </c>
    </row>
    <row r="882" spans="1:8" x14ac:dyDescent="0.3">
      <c r="A882">
        <v>1881</v>
      </c>
      <c r="B882">
        <v>662</v>
      </c>
      <c r="C882" t="s">
        <v>140</v>
      </c>
      <c r="D882" s="5">
        <v>45539</v>
      </c>
      <c r="E882" t="s">
        <v>187</v>
      </c>
      <c r="F882">
        <v>9</v>
      </c>
      <c r="G882" t="str">
        <f>VLOOKUP(Table28[[#This Row],[SKU]],Supplier_Products[[#All],[Supplier]:[SKU]],3,FALSE)</f>
        <v>SoundWave</v>
      </c>
      <c r="H882" t="str" cm="1">
        <f t="array" ref="H882">_xlfn.XLOOKUP(Table28[[#This Row],[SKU]],Supplier_Products[[#All],[SKU]],Supplier_Products[[#All],[Supplier]])</f>
        <v>SoundWave</v>
      </c>
    </row>
    <row r="883" spans="1:8" x14ac:dyDescent="0.3">
      <c r="A883">
        <v>1882</v>
      </c>
      <c r="B883">
        <v>570</v>
      </c>
      <c r="C883" t="s">
        <v>133</v>
      </c>
      <c r="D883" s="5">
        <v>45516</v>
      </c>
      <c r="E883" t="s">
        <v>14</v>
      </c>
      <c r="F883">
        <v>16</v>
      </c>
      <c r="G883" t="str">
        <f>VLOOKUP(Table28[[#This Row],[SKU]],Supplier_Products[[#All],[Supplier]:[SKU]],3,FALSE)</f>
        <v>SafeTech</v>
      </c>
      <c r="H883" t="str" cm="1">
        <f t="array" ref="H883">_xlfn.XLOOKUP(Table28[[#This Row],[SKU]],Supplier_Products[[#All],[SKU]],Supplier_Products[[#All],[Supplier]])</f>
        <v>SafeTech</v>
      </c>
    </row>
    <row r="884" spans="1:8" x14ac:dyDescent="0.3">
      <c r="A884">
        <v>1883</v>
      </c>
      <c r="B884">
        <v>502</v>
      </c>
      <c r="C884" t="s">
        <v>160</v>
      </c>
      <c r="D884" s="5">
        <v>45616</v>
      </c>
      <c r="E884" t="s">
        <v>13</v>
      </c>
      <c r="F884">
        <v>10</v>
      </c>
      <c r="G884" t="str">
        <f>VLOOKUP(Table28[[#This Row],[SKU]],Supplier_Products[[#All],[Supplier]:[SKU]],3,FALSE)</f>
        <v>SoundCo</v>
      </c>
      <c r="H884" t="str" cm="1">
        <f t="array" ref="H884">_xlfn.XLOOKUP(Table28[[#This Row],[SKU]],Supplier_Products[[#All],[SKU]],Supplier_Products[[#All],[Supplier]])</f>
        <v>SoundCo</v>
      </c>
    </row>
    <row r="885" spans="1:8" x14ac:dyDescent="0.3">
      <c r="A885">
        <v>1884</v>
      </c>
      <c r="B885">
        <v>616</v>
      </c>
      <c r="C885" t="s">
        <v>10</v>
      </c>
      <c r="D885" s="5">
        <v>45472</v>
      </c>
      <c r="E885" t="s">
        <v>13</v>
      </c>
      <c r="F885">
        <v>16</v>
      </c>
      <c r="G885" t="str">
        <f>VLOOKUP(Table28[[#This Row],[SKU]],Supplier_Products[[#All],[Supplier]:[SKU]],3,FALSE)</f>
        <v>TabletMakers</v>
      </c>
      <c r="H885" t="str" cm="1">
        <f t="array" ref="H885">_xlfn.XLOOKUP(Table28[[#This Row],[SKU]],Supplier_Products[[#All],[SKU]],Supplier_Products[[#All],[Supplier]])</f>
        <v>TabletMakers</v>
      </c>
    </row>
    <row r="886" spans="1:8" x14ac:dyDescent="0.3">
      <c r="A886">
        <v>1885</v>
      </c>
      <c r="B886">
        <v>731</v>
      </c>
      <c r="C886" t="s">
        <v>184</v>
      </c>
      <c r="D886" s="5">
        <v>45592</v>
      </c>
      <c r="E886" t="s">
        <v>189</v>
      </c>
      <c r="F886">
        <v>6</v>
      </c>
      <c r="G886" t="str">
        <f>VLOOKUP(Table28[[#This Row],[SKU]],Supplier_Products[[#All],[Supplier]:[SKU]],3,FALSE)</f>
        <v>VisionTech</v>
      </c>
      <c r="H886" t="str" cm="1">
        <f t="array" ref="H886">_xlfn.XLOOKUP(Table28[[#This Row],[SKU]],Supplier_Products[[#All],[SKU]],Supplier_Products[[#All],[Supplier]])</f>
        <v>VisionTech</v>
      </c>
    </row>
    <row r="887" spans="1:8" x14ac:dyDescent="0.3">
      <c r="A887">
        <v>1886</v>
      </c>
      <c r="B887">
        <v>668</v>
      </c>
      <c r="C887" t="s">
        <v>133</v>
      </c>
      <c r="D887" s="5">
        <v>45421</v>
      </c>
      <c r="E887" t="s">
        <v>14</v>
      </c>
      <c r="F887">
        <v>13</v>
      </c>
      <c r="G887" t="str">
        <f>VLOOKUP(Table28[[#This Row],[SKU]],Supplier_Products[[#All],[Supplier]:[SKU]],3,FALSE)</f>
        <v>SafeTech</v>
      </c>
      <c r="H887" t="str" cm="1">
        <f t="array" ref="H887">_xlfn.XLOOKUP(Table28[[#This Row],[SKU]],Supplier_Products[[#All],[SKU]],Supplier_Products[[#All],[Supplier]])</f>
        <v>SafeTech</v>
      </c>
    </row>
    <row r="888" spans="1:8" x14ac:dyDescent="0.3">
      <c r="A888">
        <v>1887</v>
      </c>
      <c r="B888">
        <v>553</v>
      </c>
      <c r="C888" t="s">
        <v>158</v>
      </c>
      <c r="D888" s="5">
        <v>45597</v>
      </c>
      <c r="E888" t="s">
        <v>186</v>
      </c>
      <c r="F888">
        <v>6</v>
      </c>
      <c r="G888" t="str">
        <f>VLOOKUP(Table28[[#This Row],[SKU]],Supplier_Products[[#All],[Supplier]:[SKU]],3,FALSE)</f>
        <v>ClickTech</v>
      </c>
      <c r="H888" t="str" cm="1">
        <f t="array" ref="H888">_xlfn.XLOOKUP(Table28[[#This Row],[SKU]],Supplier_Products[[#All],[SKU]],Supplier_Products[[#All],[Supplier]])</f>
        <v>ClickTech</v>
      </c>
    </row>
    <row r="889" spans="1:8" x14ac:dyDescent="0.3">
      <c r="A889">
        <v>1888</v>
      </c>
      <c r="B889">
        <v>630</v>
      </c>
      <c r="C889" t="s">
        <v>166</v>
      </c>
      <c r="D889" s="5">
        <v>45548</v>
      </c>
      <c r="E889" t="s">
        <v>191</v>
      </c>
      <c r="F889">
        <v>9</v>
      </c>
      <c r="G889" t="str">
        <f>VLOOKUP(Table28[[#This Row],[SKU]],Supplier_Products[[#All],[Supplier]:[SKU]],3,FALSE)</f>
        <v>BookTech</v>
      </c>
      <c r="H889" t="str" cm="1">
        <f t="array" ref="H889">_xlfn.XLOOKUP(Table28[[#This Row],[SKU]],Supplier_Products[[#All],[SKU]],Supplier_Products[[#All],[Supplier]])</f>
        <v>BookTech</v>
      </c>
    </row>
    <row r="890" spans="1:8" x14ac:dyDescent="0.3">
      <c r="A890">
        <v>1889</v>
      </c>
      <c r="B890">
        <v>697</v>
      </c>
      <c r="C890" t="s">
        <v>10</v>
      </c>
      <c r="D890" s="5">
        <v>45477</v>
      </c>
      <c r="E890" t="s">
        <v>13</v>
      </c>
      <c r="F890">
        <v>14</v>
      </c>
      <c r="G890" t="str">
        <f>VLOOKUP(Table28[[#This Row],[SKU]],Supplier_Products[[#All],[Supplier]:[SKU]],3,FALSE)</f>
        <v>TabletMakers</v>
      </c>
      <c r="H890" t="str" cm="1">
        <f t="array" ref="H890">_xlfn.XLOOKUP(Table28[[#This Row],[SKU]],Supplier_Products[[#All],[SKU]],Supplier_Products[[#All],[Supplier]])</f>
        <v>TabletMakers</v>
      </c>
    </row>
    <row r="891" spans="1:8" x14ac:dyDescent="0.3">
      <c r="A891">
        <v>1890</v>
      </c>
      <c r="B891">
        <v>507</v>
      </c>
      <c r="C891" t="s">
        <v>7</v>
      </c>
      <c r="D891" s="5">
        <v>45640</v>
      </c>
      <c r="E891" t="s">
        <v>13</v>
      </c>
      <c r="F891">
        <v>6</v>
      </c>
      <c r="G891" t="str">
        <f>VLOOKUP(Table28[[#This Row],[SKU]],Supplier_Products[[#All],[Supplier]:[SKU]],3,FALSE)</f>
        <v>SoundCo</v>
      </c>
      <c r="H891" t="str" cm="1">
        <f t="array" ref="H891">_xlfn.XLOOKUP(Table28[[#This Row],[SKU]],Supplier_Products[[#All],[SKU]],Supplier_Products[[#All],[Supplier]])</f>
        <v>SoundCo</v>
      </c>
    </row>
    <row r="892" spans="1:8" x14ac:dyDescent="0.3">
      <c r="A892">
        <v>1891</v>
      </c>
      <c r="B892">
        <v>603</v>
      </c>
      <c r="C892" t="s">
        <v>73</v>
      </c>
      <c r="D892" s="5">
        <v>45402</v>
      </c>
      <c r="E892" t="s">
        <v>186</v>
      </c>
      <c r="F892">
        <v>12</v>
      </c>
      <c r="G892" t="str">
        <f>VLOOKUP(Table28[[#This Row],[SKU]],Supplier_Products[[#All],[Supplier]:[SKU]],3,FALSE)</f>
        <v>ClickTech</v>
      </c>
      <c r="H892" t="str" cm="1">
        <f t="array" ref="H892">_xlfn.XLOOKUP(Table28[[#This Row],[SKU]],Supplier_Products[[#All],[SKU]],Supplier_Products[[#All],[Supplier]])</f>
        <v>ClickTech</v>
      </c>
    </row>
    <row r="893" spans="1:8" x14ac:dyDescent="0.3">
      <c r="A893">
        <v>1892</v>
      </c>
      <c r="B893">
        <v>586</v>
      </c>
      <c r="C893" t="s">
        <v>73</v>
      </c>
      <c r="D893" s="5">
        <v>45424</v>
      </c>
      <c r="E893" t="s">
        <v>186</v>
      </c>
      <c r="F893">
        <v>17</v>
      </c>
      <c r="G893" t="str">
        <f>VLOOKUP(Table28[[#This Row],[SKU]],Supplier_Products[[#All],[Supplier]:[SKU]],3,FALSE)</f>
        <v>ClickTech</v>
      </c>
      <c r="H893" t="str" cm="1">
        <f t="array" ref="H893">_xlfn.XLOOKUP(Table28[[#This Row],[SKU]],Supplier_Products[[#All],[SKU]],Supplier_Products[[#All],[Supplier]])</f>
        <v>ClickTech</v>
      </c>
    </row>
    <row r="894" spans="1:8" x14ac:dyDescent="0.3">
      <c r="A894">
        <v>1893</v>
      </c>
      <c r="B894">
        <v>626</v>
      </c>
      <c r="C894" t="s">
        <v>123</v>
      </c>
      <c r="D894" s="5">
        <v>45584</v>
      </c>
      <c r="E894" t="s">
        <v>189</v>
      </c>
      <c r="F894">
        <v>18</v>
      </c>
      <c r="G894" t="str">
        <f>VLOOKUP(Table28[[#This Row],[SKU]],Supplier_Products[[#All],[Supplier]:[SKU]],3,FALSE)</f>
        <v>VRWorld</v>
      </c>
      <c r="H894" t="str" cm="1">
        <f t="array" ref="H894">_xlfn.XLOOKUP(Table28[[#This Row],[SKU]],Supplier_Products[[#All],[SKU]],Supplier_Products[[#All],[Supplier]])</f>
        <v>VRWorld</v>
      </c>
    </row>
    <row r="895" spans="1:8" x14ac:dyDescent="0.3">
      <c r="A895">
        <v>1894</v>
      </c>
      <c r="B895">
        <v>541</v>
      </c>
      <c r="C895" t="s">
        <v>148</v>
      </c>
      <c r="D895" s="5">
        <v>45593</v>
      </c>
      <c r="E895" t="s">
        <v>12</v>
      </c>
      <c r="F895">
        <v>11</v>
      </c>
      <c r="G895" t="str">
        <f>VLOOKUP(Table28[[#This Row],[SKU]],Supplier_Products[[#All],[Supplier]:[SKU]],3,FALSE)</f>
        <v>ChargePro</v>
      </c>
      <c r="H895" t="str" cm="1">
        <f t="array" ref="H895">_xlfn.XLOOKUP(Table28[[#This Row],[SKU]],Supplier_Products[[#All],[SKU]],Supplier_Products[[#All],[Supplier]])</f>
        <v>ChargePro</v>
      </c>
    </row>
    <row r="896" spans="1:8" x14ac:dyDescent="0.3">
      <c r="A896">
        <v>1895</v>
      </c>
      <c r="B896">
        <v>518</v>
      </c>
      <c r="C896" t="s">
        <v>169</v>
      </c>
      <c r="D896" s="5">
        <v>45378</v>
      </c>
      <c r="E896" t="s">
        <v>14</v>
      </c>
      <c r="F896">
        <v>7</v>
      </c>
      <c r="G896" t="str">
        <f>VLOOKUP(Table28[[#This Row],[SKU]],Supplier_Products[[#All],[Supplier]:[SKU]],3,FALSE)</f>
        <v>SafeDrive</v>
      </c>
      <c r="H896" t="str" cm="1">
        <f t="array" ref="H896">_xlfn.XLOOKUP(Table28[[#This Row],[SKU]],Supplier_Products[[#All],[SKU]],Supplier_Products[[#All],[Supplier]])</f>
        <v>SafeDrive</v>
      </c>
    </row>
    <row r="897" spans="1:8" x14ac:dyDescent="0.3">
      <c r="A897">
        <v>1896</v>
      </c>
      <c r="B897">
        <v>574</v>
      </c>
      <c r="C897" t="s">
        <v>150</v>
      </c>
      <c r="D897" s="5">
        <v>45642</v>
      </c>
      <c r="E897" t="s">
        <v>187</v>
      </c>
      <c r="F897">
        <v>17</v>
      </c>
      <c r="G897" t="str">
        <f>VLOOKUP(Table28[[#This Row],[SKU]],Supplier_Products[[#All],[Supplier]:[SKU]],3,FALSE)</f>
        <v>ShutterPro</v>
      </c>
      <c r="H897" t="str" cm="1">
        <f t="array" ref="H897">_xlfn.XLOOKUP(Table28[[#This Row],[SKU]],Supplier_Products[[#All],[SKU]],Supplier_Products[[#All],[Supplier]])</f>
        <v>ShutterPro</v>
      </c>
    </row>
    <row r="898" spans="1:8" x14ac:dyDescent="0.3">
      <c r="A898">
        <v>1897</v>
      </c>
      <c r="B898">
        <v>685</v>
      </c>
      <c r="C898" t="s">
        <v>166</v>
      </c>
      <c r="D898" s="5">
        <v>45582</v>
      </c>
      <c r="E898" t="s">
        <v>191</v>
      </c>
      <c r="F898">
        <v>2</v>
      </c>
      <c r="G898" t="str">
        <f>VLOOKUP(Table28[[#This Row],[SKU]],Supplier_Products[[#All],[Supplier]:[SKU]],3,FALSE)</f>
        <v>BookTech</v>
      </c>
      <c r="H898" t="str" cm="1">
        <f t="array" ref="H898">_xlfn.XLOOKUP(Table28[[#This Row],[SKU]],Supplier_Products[[#All],[SKU]],Supplier_Products[[#All],[Supplier]])</f>
        <v>BookTech</v>
      </c>
    </row>
    <row r="899" spans="1:8" x14ac:dyDescent="0.3">
      <c r="A899">
        <v>1898</v>
      </c>
      <c r="B899">
        <v>589</v>
      </c>
      <c r="C899" t="s">
        <v>126</v>
      </c>
      <c r="D899" s="5">
        <v>45473</v>
      </c>
      <c r="E899" t="s">
        <v>191</v>
      </c>
      <c r="F899">
        <v>15</v>
      </c>
      <c r="G899" t="str">
        <f>VLOOKUP(Table28[[#This Row],[SKU]],Supplier_Products[[#All],[Supplier]:[SKU]],3,FALSE)</f>
        <v>FitTech</v>
      </c>
      <c r="H899" t="str" cm="1">
        <f t="array" ref="H899">_xlfn.XLOOKUP(Table28[[#This Row],[SKU]],Supplier_Products[[#All],[SKU]],Supplier_Products[[#All],[Supplier]])</f>
        <v>FitTech</v>
      </c>
    </row>
    <row r="900" spans="1:8" x14ac:dyDescent="0.3">
      <c r="A900">
        <v>1899</v>
      </c>
      <c r="B900">
        <v>588</v>
      </c>
      <c r="C900" t="s">
        <v>142</v>
      </c>
      <c r="D900" s="5">
        <v>45401</v>
      </c>
      <c r="E900" t="s">
        <v>186</v>
      </c>
      <c r="F900">
        <v>13</v>
      </c>
      <c r="G900" t="str">
        <f>VLOOKUP(Table28[[#This Row],[SKU]],Supplier_Products[[#All],[Supplier]:[SKU]],3,FALSE)</f>
        <v>GPUForce</v>
      </c>
      <c r="H900" t="str" cm="1">
        <f t="array" ref="H900">_xlfn.XLOOKUP(Table28[[#This Row],[SKU]],Supplier_Products[[#All],[SKU]],Supplier_Products[[#All],[Supplier]])</f>
        <v>GPUForce</v>
      </c>
    </row>
    <row r="901" spans="1:8" x14ac:dyDescent="0.3">
      <c r="A901">
        <v>1900</v>
      </c>
      <c r="B901">
        <v>506</v>
      </c>
      <c r="C901" t="s">
        <v>9</v>
      </c>
      <c r="D901" s="5">
        <v>45573</v>
      </c>
      <c r="E901" t="s">
        <v>14</v>
      </c>
      <c r="F901">
        <v>1</v>
      </c>
      <c r="G901" t="str">
        <f>VLOOKUP(Table28[[#This Row],[SKU]],Supplier_Products[[#All],[Supplier]:[SKU]],3,FALSE)</f>
        <v>CompuTech</v>
      </c>
      <c r="H901" t="str" cm="1">
        <f t="array" ref="H901">_xlfn.XLOOKUP(Table28[[#This Row],[SKU]],Supplier_Products[[#All],[SKU]],Supplier_Products[[#All],[Supplier]])</f>
        <v>CompuTech</v>
      </c>
    </row>
    <row r="902" spans="1:8" x14ac:dyDescent="0.3">
      <c r="A902">
        <v>1901</v>
      </c>
      <c r="B902">
        <v>643</v>
      </c>
      <c r="C902" t="s">
        <v>114</v>
      </c>
      <c r="D902" s="5">
        <v>45446</v>
      </c>
      <c r="E902" t="s">
        <v>189</v>
      </c>
      <c r="F902">
        <v>14</v>
      </c>
      <c r="G902" t="str">
        <f>VLOOKUP(Table28[[#This Row],[SKU]],Supplier_Products[[#All],[Supplier]:[SKU]],3,FALSE)</f>
        <v>VisionTech</v>
      </c>
      <c r="H902" t="str" cm="1">
        <f t="array" ref="H902">_xlfn.XLOOKUP(Table28[[#This Row],[SKU]],Supplier_Products[[#All],[SKU]],Supplier_Products[[#All],[Supplier]])</f>
        <v>VisionTech</v>
      </c>
    </row>
    <row r="903" spans="1:8" x14ac:dyDescent="0.3">
      <c r="A903">
        <v>1902</v>
      </c>
      <c r="B903">
        <v>566</v>
      </c>
      <c r="C903" t="s">
        <v>114</v>
      </c>
      <c r="D903" s="5">
        <v>45441</v>
      </c>
      <c r="E903" t="s">
        <v>189</v>
      </c>
      <c r="F903">
        <v>17</v>
      </c>
      <c r="G903" t="str">
        <f>VLOOKUP(Table28[[#This Row],[SKU]],Supplier_Products[[#All],[Supplier]:[SKU]],3,FALSE)</f>
        <v>VisionTech</v>
      </c>
      <c r="H903" t="str" cm="1">
        <f t="array" ref="H903">_xlfn.XLOOKUP(Table28[[#This Row],[SKU]],Supplier_Products[[#All],[SKU]],Supplier_Products[[#All],[Supplier]])</f>
        <v>VisionTech</v>
      </c>
    </row>
    <row r="904" spans="1:8" x14ac:dyDescent="0.3">
      <c r="A904">
        <v>1903</v>
      </c>
      <c r="B904">
        <v>609</v>
      </c>
      <c r="C904" t="s">
        <v>162</v>
      </c>
      <c r="D904" s="5">
        <v>45581</v>
      </c>
      <c r="E904" t="s">
        <v>189</v>
      </c>
      <c r="F904">
        <v>13</v>
      </c>
      <c r="G904" t="str">
        <f>VLOOKUP(Table28[[#This Row],[SKU]],Supplier_Products[[#All],[Supplier]:[SKU]],3,FALSE)</f>
        <v>AeroTech</v>
      </c>
      <c r="H904" t="str" cm="1">
        <f t="array" ref="H904">_xlfn.XLOOKUP(Table28[[#This Row],[SKU]],Supplier_Products[[#All],[SKU]],Supplier_Products[[#All],[Supplier]])</f>
        <v>AeroTech</v>
      </c>
    </row>
    <row r="905" spans="1:8" x14ac:dyDescent="0.3">
      <c r="A905">
        <v>1904</v>
      </c>
      <c r="B905">
        <v>636</v>
      </c>
      <c r="C905" t="s">
        <v>133</v>
      </c>
      <c r="D905" s="5">
        <v>45381</v>
      </c>
      <c r="E905" t="s">
        <v>14</v>
      </c>
      <c r="F905">
        <v>14</v>
      </c>
      <c r="G905" t="str">
        <f>VLOOKUP(Table28[[#This Row],[SKU]],Supplier_Products[[#All],[Supplier]:[SKU]],3,FALSE)</f>
        <v>SafeTech</v>
      </c>
      <c r="H905" t="str" cm="1">
        <f t="array" ref="H905">_xlfn.XLOOKUP(Table28[[#This Row],[SKU]],Supplier_Products[[#All],[SKU]],Supplier_Products[[#All],[Supplier]])</f>
        <v>SafeTech</v>
      </c>
    </row>
    <row r="906" spans="1:8" x14ac:dyDescent="0.3">
      <c r="A906">
        <v>1905</v>
      </c>
      <c r="B906">
        <v>553</v>
      </c>
      <c r="C906" t="s">
        <v>8</v>
      </c>
      <c r="D906" s="5">
        <v>45439</v>
      </c>
      <c r="E906" t="s">
        <v>15</v>
      </c>
      <c r="F906">
        <v>7</v>
      </c>
      <c r="G906" t="str">
        <f>VLOOKUP(Table28[[#This Row],[SKU]],Supplier_Products[[#All],[Supplier]:[SKU]],3,FALSE)</f>
        <v>Wearable Inc.</v>
      </c>
      <c r="H906" t="str" cm="1">
        <f t="array" ref="H906">_xlfn.XLOOKUP(Table28[[#This Row],[SKU]],Supplier_Products[[#All],[SKU]],Supplier_Products[[#All],[Supplier]])</f>
        <v>Wearable Inc.</v>
      </c>
    </row>
    <row r="907" spans="1:8" x14ac:dyDescent="0.3">
      <c r="A907">
        <v>1906</v>
      </c>
      <c r="B907">
        <v>615</v>
      </c>
      <c r="C907" t="s">
        <v>73</v>
      </c>
      <c r="D907" s="5">
        <v>45506</v>
      </c>
      <c r="E907" t="s">
        <v>186</v>
      </c>
      <c r="F907">
        <v>1</v>
      </c>
      <c r="G907" t="str">
        <f>VLOOKUP(Table28[[#This Row],[SKU]],Supplier_Products[[#All],[Supplier]:[SKU]],3,FALSE)</f>
        <v>ClickTech</v>
      </c>
      <c r="H907" t="str" cm="1">
        <f t="array" ref="H907">_xlfn.XLOOKUP(Table28[[#This Row],[SKU]],Supplier_Products[[#All],[SKU]],Supplier_Products[[#All],[Supplier]])</f>
        <v>ClickTech</v>
      </c>
    </row>
    <row r="908" spans="1:8" x14ac:dyDescent="0.3">
      <c r="A908">
        <v>1907</v>
      </c>
      <c r="B908">
        <v>670</v>
      </c>
      <c r="C908" t="s">
        <v>73</v>
      </c>
      <c r="D908" s="5">
        <v>45352</v>
      </c>
      <c r="E908" t="s">
        <v>186</v>
      </c>
      <c r="F908">
        <v>9</v>
      </c>
      <c r="G908" t="str">
        <f>VLOOKUP(Table28[[#This Row],[SKU]],Supplier_Products[[#All],[Supplier]:[SKU]],3,FALSE)</f>
        <v>ClickTech</v>
      </c>
      <c r="H908" t="str" cm="1">
        <f t="array" ref="H908">_xlfn.XLOOKUP(Table28[[#This Row],[SKU]],Supplier_Products[[#All],[SKU]],Supplier_Products[[#All],[Supplier]])</f>
        <v>ClickTech</v>
      </c>
    </row>
    <row r="909" spans="1:8" x14ac:dyDescent="0.3">
      <c r="A909">
        <v>1908</v>
      </c>
      <c r="B909">
        <v>525</v>
      </c>
      <c r="C909" t="s">
        <v>137</v>
      </c>
      <c r="D909" s="5">
        <v>45578</v>
      </c>
      <c r="E909" t="s">
        <v>188</v>
      </c>
      <c r="F909">
        <v>1</v>
      </c>
      <c r="G909" t="str">
        <f>VLOOKUP(Table28[[#This Row],[SKU]],Supplier_Products[[#All],[Supplier]:[SKU]],3,FALSE)</f>
        <v>CleanBot</v>
      </c>
      <c r="H909" t="str" cm="1">
        <f t="array" ref="H909">_xlfn.XLOOKUP(Table28[[#This Row],[SKU]],Supplier_Products[[#All],[SKU]],Supplier_Products[[#All],[Supplier]])</f>
        <v>CleanBot</v>
      </c>
    </row>
    <row r="910" spans="1:8" x14ac:dyDescent="0.3">
      <c r="A910">
        <v>1909</v>
      </c>
      <c r="B910">
        <v>560</v>
      </c>
      <c r="C910" t="s">
        <v>154</v>
      </c>
      <c r="D910" s="5">
        <v>45574</v>
      </c>
      <c r="E910" t="s">
        <v>187</v>
      </c>
      <c r="F910">
        <v>3</v>
      </c>
      <c r="G910" t="str">
        <f>VLOOKUP(Table28[[#This Row],[SKU]],Supplier_Products[[#All],[Supplier]:[SKU]],3,FALSE)</f>
        <v>ShutterPro</v>
      </c>
      <c r="H910" t="str" cm="1">
        <f t="array" ref="H910">_xlfn.XLOOKUP(Table28[[#This Row],[SKU]],Supplier_Products[[#All],[SKU]],Supplier_Products[[#All],[Supplier]])</f>
        <v>ShutterPro</v>
      </c>
    </row>
    <row r="911" spans="1:8" x14ac:dyDescent="0.3">
      <c r="A911">
        <v>1910</v>
      </c>
      <c r="B911">
        <v>696</v>
      </c>
      <c r="C911" t="s">
        <v>8</v>
      </c>
      <c r="D911" s="5">
        <v>45450</v>
      </c>
      <c r="E911" t="s">
        <v>15</v>
      </c>
      <c r="F911">
        <v>16</v>
      </c>
      <c r="G911" t="str">
        <f>VLOOKUP(Table28[[#This Row],[SKU]],Supplier_Products[[#All],[Supplier]:[SKU]],3,FALSE)</f>
        <v>Wearable Inc.</v>
      </c>
      <c r="H911" t="str" cm="1">
        <f t="array" ref="H911">_xlfn.XLOOKUP(Table28[[#This Row],[SKU]],Supplier_Products[[#All],[SKU]],Supplier_Products[[#All],[Supplier]])</f>
        <v>Wearable Inc.</v>
      </c>
    </row>
    <row r="912" spans="1:8" x14ac:dyDescent="0.3">
      <c r="A912">
        <v>1911</v>
      </c>
      <c r="B912">
        <v>730</v>
      </c>
      <c r="C912" t="s">
        <v>145</v>
      </c>
      <c r="D912" s="5">
        <v>45525</v>
      </c>
      <c r="E912" t="s">
        <v>190</v>
      </c>
      <c r="F912">
        <v>7</v>
      </c>
      <c r="G912" t="str">
        <f>VLOOKUP(Table28[[#This Row],[SKU]],Supplier_Products[[#All],[Supplier]:[SKU]],3,FALSE)</f>
        <v>BrightHome</v>
      </c>
      <c r="H912" t="str" cm="1">
        <f t="array" ref="H912">_xlfn.XLOOKUP(Table28[[#This Row],[SKU]],Supplier_Products[[#All],[SKU]],Supplier_Products[[#All],[Supplier]])</f>
        <v>BrightHome</v>
      </c>
    </row>
    <row r="913" spans="1:8" x14ac:dyDescent="0.3">
      <c r="A913">
        <v>1912</v>
      </c>
      <c r="B913">
        <v>639</v>
      </c>
      <c r="C913" t="s">
        <v>162</v>
      </c>
      <c r="D913" s="5">
        <v>45558</v>
      </c>
      <c r="E913" t="s">
        <v>189</v>
      </c>
      <c r="F913">
        <v>4</v>
      </c>
      <c r="G913" t="str">
        <f>VLOOKUP(Table28[[#This Row],[SKU]],Supplier_Products[[#All],[Supplier]:[SKU]],3,FALSE)</f>
        <v>AeroTech</v>
      </c>
      <c r="H913" t="str" cm="1">
        <f t="array" ref="H913">_xlfn.XLOOKUP(Table28[[#This Row],[SKU]],Supplier_Products[[#All],[SKU]],Supplier_Products[[#All],[Supplier]])</f>
        <v>AeroTech</v>
      </c>
    </row>
    <row r="914" spans="1:8" x14ac:dyDescent="0.3">
      <c r="A914">
        <v>1913</v>
      </c>
      <c r="B914">
        <v>571</v>
      </c>
      <c r="C914" t="s">
        <v>173</v>
      </c>
      <c r="D914" s="5">
        <v>45299</v>
      </c>
      <c r="E914" t="s">
        <v>14</v>
      </c>
      <c r="F914">
        <v>9</v>
      </c>
      <c r="G914" t="str">
        <f>VLOOKUP(Table28[[#This Row],[SKU]],Supplier_Products[[#All],[Supplier]:[SKU]],3,FALSE)</f>
        <v>SafeTech</v>
      </c>
      <c r="H914" t="str" cm="1">
        <f t="array" ref="H914">_xlfn.XLOOKUP(Table28[[#This Row],[SKU]],Supplier_Products[[#All],[SKU]],Supplier_Products[[#All],[Supplier]])</f>
        <v>SafeTech</v>
      </c>
    </row>
    <row r="915" spans="1:8" x14ac:dyDescent="0.3">
      <c r="A915">
        <v>1914</v>
      </c>
      <c r="B915">
        <v>652</v>
      </c>
      <c r="C915" t="s">
        <v>154</v>
      </c>
      <c r="D915" s="5">
        <v>45477</v>
      </c>
      <c r="E915" t="s">
        <v>187</v>
      </c>
      <c r="F915">
        <v>14</v>
      </c>
      <c r="G915" t="str">
        <f>VLOOKUP(Table28[[#This Row],[SKU]],Supplier_Products[[#All],[Supplier]:[SKU]],3,FALSE)</f>
        <v>ShutterPro</v>
      </c>
      <c r="H915" t="str" cm="1">
        <f t="array" ref="H915">_xlfn.XLOOKUP(Table28[[#This Row],[SKU]],Supplier_Products[[#All],[SKU]],Supplier_Products[[#All],[Supplier]])</f>
        <v>ShutterPro</v>
      </c>
    </row>
    <row r="916" spans="1:8" x14ac:dyDescent="0.3">
      <c r="A916">
        <v>1915</v>
      </c>
      <c r="B916">
        <v>722</v>
      </c>
      <c r="C916" t="s">
        <v>133</v>
      </c>
      <c r="D916" s="5">
        <v>45446</v>
      </c>
      <c r="E916" t="s">
        <v>14</v>
      </c>
      <c r="F916">
        <v>20</v>
      </c>
      <c r="G916" t="str">
        <f>VLOOKUP(Table28[[#This Row],[SKU]],Supplier_Products[[#All],[Supplier]:[SKU]],3,FALSE)</f>
        <v>SafeTech</v>
      </c>
      <c r="H916" t="str" cm="1">
        <f t="array" ref="H916">_xlfn.XLOOKUP(Table28[[#This Row],[SKU]],Supplier_Products[[#All],[SKU]],Supplier_Products[[#All],[Supplier]])</f>
        <v>SafeTech</v>
      </c>
    </row>
    <row r="917" spans="1:8" x14ac:dyDescent="0.3">
      <c r="A917">
        <v>1916</v>
      </c>
      <c r="B917">
        <v>689</v>
      </c>
      <c r="C917" t="s">
        <v>73</v>
      </c>
      <c r="D917" s="5">
        <v>45417</v>
      </c>
      <c r="E917" t="s">
        <v>186</v>
      </c>
      <c r="F917">
        <v>20</v>
      </c>
      <c r="G917" t="str">
        <f>VLOOKUP(Table28[[#This Row],[SKU]],Supplier_Products[[#All],[Supplier]:[SKU]],3,FALSE)</f>
        <v>ClickTech</v>
      </c>
      <c r="H917" t="str" cm="1">
        <f t="array" ref="H917">_xlfn.XLOOKUP(Table28[[#This Row],[SKU]],Supplier_Products[[#All],[SKU]],Supplier_Products[[#All],[Supplier]])</f>
        <v>ClickTech</v>
      </c>
    </row>
    <row r="918" spans="1:8" x14ac:dyDescent="0.3">
      <c r="A918">
        <v>1917</v>
      </c>
      <c r="B918">
        <v>529</v>
      </c>
      <c r="C918" t="s">
        <v>133</v>
      </c>
      <c r="D918" s="5">
        <v>45555</v>
      </c>
      <c r="E918" t="s">
        <v>14</v>
      </c>
      <c r="F918">
        <v>14</v>
      </c>
      <c r="G918" t="str">
        <f>VLOOKUP(Table28[[#This Row],[SKU]],Supplier_Products[[#All],[Supplier]:[SKU]],3,FALSE)</f>
        <v>SafeTech</v>
      </c>
      <c r="H918" t="str" cm="1">
        <f t="array" ref="H918">_xlfn.XLOOKUP(Table28[[#This Row],[SKU]],Supplier_Products[[#All],[SKU]],Supplier_Products[[#All],[Supplier]])</f>
        <v>SafeTech</v>
      </c>
    </row>
    <row r="919" spans="1:8" x14ac:dyDescent="0.3">
      <c r="A919">
        <v>1918</v>
      </c>
      <c r="B919">
        <v>563</v>
      </c>
      <c r="C919" t="s">
        <v>73</v>
      </c>
      <c r="D919" s="5">
        <v>45471</v>
      </c>
      <c r="E919" t="s">
        <v>186</v>
      </c>
      <c r="F919">
        <v>7</v>
      </c>
      <c r="G919" t="str">
        <f>VLOOKUP(Table28[[#This Row],[SKU]],Supplier_Products[[#All],[Supplier]:[SKU]],3,FALSE)</f>
        <v>ClickTech</v>
      </c>
      <c r="H919" t="str" cm="1">
        <f t="array" ref="H919">_xlfn.XLOOKUP(Table28[[#This Row],[SKU]],Supplier_Products[[#All],[SKU]],Supplier_Products[[#All],[Supplier]])</f>
        <v>ClickTech</v>
      </c>
    </row>
    <row r="920" spans="1:8" x14ac:dyDescent="0.3">
      <c r="A920">
        <v>1919</v>
      </c>
      <c r="B920">
        <v>647</v>
      </c>
      <c r="C920" t="s">
        <v>142</v>
      </c>
      <c r="D920" s="5">
        <v>45421</v>
      </c>
      <c r="E920" t="s">
        <v>186</v>
      </c>
      <c r="F920">
        <v>17</v>
      </c>
      <c r="G920" t="str">
        <f>VLOOKUP(Table28[[#This Row],[SKU]],Supplier_Products[[#All],[Supplier]:[SKU]],3,FALSE)</f>
        <v>GPUForce</v>
      </c>
      <c r="H920" t="str" cm="1">
        <f t="array" ref="H920">_xlfn.XLOOKUP(Table28[[#This Row],[SKU]],Supplier_Products[[#All],[SKU]],Supplier_Products[[#All],[Supplier]])</f>
        <v>GPUForce</v>
      </c>
    </row>
    <row r="921" spans="1:8" x14ac:dyDescent="0.3">
      <c r="A921">
        <v>1920</v>
      </c>
      <c r="B921">
        <v>602</v>
      </c>
      <c r="C921" t="s">
        <v>123</v>
      </c>
      <c r="D921" s="5">
        <v>45573</v>
      </c>
      <c r="E921" t="s">
        <v>189</v>
      </c>
      <c r="F921">
        <v>12</v>
      </c>
      <c r="G921" t="str">
        <f>VLOOKUP(Table28[[#This Row],[SKU]],Supplier_Products[[#All],[Supplier]:[SKU]],3,FALSE)</f>
        <v>VRWorld</v>
      </c>
      <c r="H921" t="str" cm="1">
        <f t="array" ref="H921">_xlfn.XLOOKUP(Table28[[#This Row],[SKU]],Supplier_Products[[#All],[SKU]],Supplier_Products[[#All],[Supplier]])</f>
        <v>VRWorld</v>
      </c>
    </row>
    <row r="922" spans="1:8" x14ac:dyDescent="0.3">
      <c r="A922">
        <v>1921</v>
      </c>
      <c r="B922">
        <v>514</v>
      </c>
      <c r="C922" t="s">
        <v>129</v>
      </c>
      <c r="D922" s="5">
        <v>45502</v>
      </c>
      <c r="E922" t="s">
        <v>12</v>
      </c>
      <c r="F922">
        <v>12</v>
      </c>
      <c r="G922" t="str">
        <f>VLOOKUP(Table28[[#This Row],[SKU]],Supplier_Products[[#All],[Supplier]:[SKU]],3,FALSE)</f>
        <v>StreamIt</v>
      </c>
      <c r="H922" t="str" cm="1">
        <f t="array" ref="H922">_xlfn.XLOOKUP(Table28[[#This Row],[SKU]],Supplier_Products[[#All],[SKU]],Supplier_Products[[#All],[Supplier]])</f>
        <v>StreamIt</v>
      </c>
    </row>
    <row r="923" spans="1:8" x14ac:dyDescent="0.3">
      <c r="A923">
        <v>1922</v>
      </c>
      <c r="B923">
        <v>548</v>
      </c>
      <c r="C923" t="s">
        <v>184</v>
      </c>
      <c r="D923" s="5">
        <v>45581</v>
      </c>
      <c r="E923" t="s">
        <v>189</v>
      </c>
      <c r="F923">
        <v>19</v>
      </c>
      <c r="G923" t="str">
        <f>VLOOKUP(Table28[[#This Row],[SKU]],Supplier_Products[[#All],[Supplier]:[SKU]],3,FALSE)</f>
        <v>VisionTech</v>
      </c>
      <c r="H923" t="str" cm="1">
        <f t="array" ref="H923">_xlfn.XLOOKUP(Table28[[#This Row],[SKU]],Supplier_Products[[#All],[SKU]],Supplier_Products[[#All],[Supplier]])</f>
        <v>VisionTech</v>
      </c>
    </row>
    <row r="924" spans="1:8" x14ac:dyDescent="0.3">
      <c r="A924">
        <v>1923</v>
      </c>
      <c r="B924">
        <v>511</v>
      </c>
      <c r="C924" t="s">
        <v>126</v>
      </c>
      <c r="D924" s="5">
        <v>45381</v>
      </c>
      <c r="E924" t="s">
        <v>191</v>
      </c>
      <c r="F924">
        <v>15</v>
      </c>
      <c r="G924" t="str">
        <f>VLOOKUP(Table28[[#This Row],[SKU]],Supplier_Products[[#All],[Supplier]:[SKU]],3,FALSE)</f>
        <v>FitTech</v>
      </c>
      <c r="H924" t="str" cm="1">
        <f t="array" ref="H924">_xlfn.XLOOKUP(Table28[[#This Row],[SKU]],Supplier_Products[[#All],[SKU]],Supplier_Products[[#All],[Supplier]])</f>
        <v>FitTech</v>
      </c>
    </row>
    <row r="925" spans="1:8" x14ac:dyDescent="0.3">
      <c r="A925">
        <v>1924</v>
      </c>
      <c r="B925">
        <v>605</v>
      </c>
      <c r="C925" t="s">
        <v>73</v>
      </c>
      <c r="D925" s="5">
        <v>45514</v>
      </c>
      <c r="E925" t="s">
        <v>186</v>
      </c>
      <c r="F925">
        <v>10</v>
      </c>
      <c r="G925" t="str">
        <f>VLOOKUP(Table28[[#This Row],[SKU]],Supplier_Products[[#All],[Supplier]:[SKU]],3,FALSE)</f>
        <v>ClickTech</v>
      </c>
      <c r="H925" t="str" cm="1">
        <f t="array" ref="H925">_xlfn.XLOOKUP(Table28[[#This Row],[SKU]],Supplier_Products[[#All],[SKU]],Supplier_Products[[#All],[Supplier]])</f>
        <v>ClickTech</v>
      </c>
    </row>
    <row r="926" spans="1:8" x14ac:dyDescent="0.3">
      <c r="A926">
        <v>1925</v>
      </c>
      <c r="B926">
        <v>697</v>
      </c>
      <c r="C926" t="s">
        <v>148</v>
      </c>
      <c r="D926" s="5">
        <v>45616</v>
      </c>
      <c r="E926" t="s">
        <v>12</v>
      </c>
      <c r="F926">
        <v>19</v>
      </c>
      <c r="G926" t="str">
        <f>VLOOKUP(Table28[[#This Row],[SKU]],Supplier_Products[[#All],[Supplier]:[SKU]],3,FALSE)</f>
        <v>ChargePro</v>
      </c>
      <c r="H926" t="str" cm="1">
        <f t="array" ref="H926">_xlfn.XLOOKUP(Table28[[#This Row],[SKU]],Supplier_Products[[#All],[SKU]],Supplier_Products[[#All],[Supplier]])</f>
        <v>ChargePro</v>
      </c>
    </row>
    <row r="927" spans="1:8" x14ac:dyDescent="0.3">
      <c r="A927">
        <v>1926</v>
      </c>
      <c r="B927">
        <v>634</v>
      </c>
      <c r="C927" t="s">
        <v>137</v>
      </c>
      <c r="D927" s="5">
        <v>45632</v>
      </c>
      <c r="E927" t="s">
        <v>188</v>
      </c>
      <c r="F927">
        <v>6</v>
      </c>
      <c r="G927" t="str">
        <f>VLOOKUP(Table28[[#This Row],[SKU]],Supplier_Products[[#All],[Supplier]:[SKU]],3,FALSE)</f>
        <v>CleanBot</v>
      </c>
      <c r="H927" t="str" cm="1">
        <f t="array" ref="H927">_xlfn.XLOOKUP(Table28[[#This Row],[SKU]],Supplier_Products[[#All],[SKU]],Supplier_Products[[#All],[Supplier]])</f>
        <v>CleanBot</v>
      </c>
    </row>
    <row r="928" spans="1:8" x14ac:dyDescent="0.3">
      <c r="A928">
        <v>1927</v>
      </c>
      <c r="B928">
        <v>516</v>
      </c>
      <c r="C928" t="s">
        <v>123</v>
      </c>
      <c r="D928" s="5">
        <v>45501</v>
      </c>
      <c r="E928" t="s">
        <v>189</v>
      </c>
      <c r="F928">
        <v>2</v>
      </c>
      <c r="G928" t="str">
        <f>VLOOKUP(Table28[[#This Row],[SKU]],Supplier_Products[[#All],[Supplier]:[SKU]],3,FALSE)</f>
        <v>VRWorld</v>
      </c>
      <c r="H928" t="str" cm="1">
        <f t="array" ref="H928">_xlfn.XLOOKUP(Table28[[#This Row],[SKU]],Supplier_Products[[#All],[SKU]],Supplier_Products[[#All],[Supplier]])</f>
        <v>VRWorld</v>
      </c>
    </row>
    <row r="929" spans="1:8" x14ac:dyDescent="0.3">
      <c r="A929">
        <v>1928</v>
      </c>
      <c r="B929">
        <v>544</v>
      </c>
      <c r="C929" t="s">
        <v>145</v>
      </c>
      <c r="D929" s="5">
        <v>45311</v>
      </c>
      <c r="E929" t="s">
        <v>190</v>
      </c>
      <c r="F929">
        <v>9</v>
      </c>
      <c r="G929" t="str">
        <f>VLOOKUP(Table28[[#This Row],[SKU]],Supplier_Products[[#All],[Supplier]:[SKU]],3,FALSE)</f>
        <v>BrightHome</v>
      </c>
      <c r="H929" t="str" cm="1">
        <f t="array" ref="H929">_xlfn.XLOOKUP(Table28[[#This Row],[SKU]],Supplier_Products[[#All],[SKU]],Supplier_Products[[#All],[Supplier]])</f>
        <v>BrightHome</v>
      </c>
    </row>
    <row r="930" spans="1:8" x14ac:dyDescent="0.3">
      <c r="A930">
        <v>1929</v>
      </c>
      <c r="B930">
        <v>605</v>
      </c>
      <c r="C930" t="s">
        <v>162</v>
      </c>
      <c r="D930" s="5">
        <v>45535</v>
      </c>
      <c r="E930" t="s">
        <v>189</v>
      </c>
      <c r="F930">
        <v>12</v>
      </c>
      <c r="G930" t="str">
        <f>VLOOKUP(Table28[[#This Row],[SKU]],Supplier_Products[[#All],[Supplier]:[SKU]],3,FALSE)</f>
        <v>AeroTech</v>
      </c>
      <c r="H930" t="str" cm="1">
        <f t="array" ref="H930">_xlfn.XLOOKUP(Table28[[#This Row],[SKU]],Supplier_Products[[#All],[SKU]],Supplier_Products[[#All],[Supplier]])</f>
        <v>AeroTech</v>
      </c>
    </row>
    <row r="931" spans="1:8" x14ac:dyDescent="0.3">
      <c r="A931">
        <v>1930</v>
      </c>
      <c r="B931">
        <v>676</v>
      </c>
      <c r="C931" t="s">
        <v>72</v>
      </c>
      <c r="D931" s="5">
        <v>45310</v>
      </c>
      <c r="E931" t="s">
        <v>187</v>
      </c>
      <c r="F931">
        <v>17</v>
      </c>
      <c r="G931" t="str">
        <f>VLOOKUP(Table28[[#This Row],[SKU]],Supplier_Products[[#All],[Supplier]:[SKU]],3,FALSE)</f>
        <v>SoundWave</v>
      </c>
      <c r="H931" t="str" cm="1">
        <f t="array" ref="H931">_xlfn.XLOOKUP(Table28[[#This Row],[SKU]],Supplier_Products[[#All],[SKU]],Supplier_Products[[#All],[Supplier]])</f>
        <v>SoundWave</v>
      </c>
    </row>
    <row r="932" spans="1:8" x14ac:dyDescent="0.3">
      <c r="A932">
        <v>1931</v>
      </c>
      <c r="B932">
        <v>582</v>
      </c>
      <c r="C932" t="s">
        <v>184</v>
      </c>
      <c r="D932" s="5">
        <v>45411</v>
      </c>
      <c r="E932" t="s">
        <v>189</v>
      </c>
      <c r="F932">
        <v>5</v>
      </c>
      <c r="G932" t="str">
        <f>VLOOKUP(Table28[[#This Row],[SKU]],Supplier_Products[[#All],[Supplier]:[SKU]],3,FALSE)</f>
        <v>VisionTech</v>
      </c>
      <c r="H932" t="str" cm="1">
        <f t="array" ref="H932">_xlfn.XLOOKUP(Table28[[#This Row],[SKU]],Supplier_Products[[#All],[SKU]],Supplier_Products[[#All],[Supplier]])</f>
        <v>VisionTech</v>
      </c>
    </row>
    <row r="933" spans="1:8" x14ac:dyDescent="0.3">
      <c r="A933">
        <v>1932</v>
      </c>
      <c r="B933">
        <v>717</v>
      </c>
      <c r="C933" t="s">
        <v>137</v>
      </c>
      <c r="D933" s="5">
        <v>45607</v>
      </c>
      <c r="E933" t="s">
        <v>188</v>
      </c>
      <c r="F933">
        <v>12</v>
      </c>
      <c r="G933" t="str">
        <f>VLOOKUP(Table28[[#This Row],[SKU]],Supplier_Products[[#All],[Supplier]:[SKU]],3,FALSE)</f>
        <v>CleanBot</v>
      </c>
      <c r="H933" t="str" cm="1">
        <f t="array" ref="H933">_xlfn.XLOOKUP(Table28[[#This Row],[SKU]],Supplier_Products[[#All],[SKU]],Supplier_Products[[#All],[Supplier]])</f>
        <v>CleanBot</v>
      </c>
    </row>
    <row r="934" spans="1:8" x14ac:dyDescent="0.3">
      <c r="A934">
        <v>1933</v>
      </c>
      <c r="B934">
        <v>607</v>
      </c>
      <c r="C934" t="s">
        <v>140</v>
      </c>
      <c r="D934" s="5">
        <v>45588</v>
      </c>
      <c r="E934" t="s">
        <v>187</v>
      </c>
      <c r="F934">
        <v>16</v>
      </c>
      <c r="G934" t="str">
        <f>VLOOKUP(Table28[[#This Row],[SKU]],Supplier_Products[[#All],[Supplier]:[SKU]],3,FALSE)</f>
        <v>SoundWave</v>
      </c>
      <c r="H934" t="str" cm="1">
        <f t="array" ref="H934">_xlfn.XLOOKUP(Table28[[#This Row],[SKU]],Supplier_Products[[#All],[SKU]],Supplier_Products[[#All],[Supplier]])</f>
        <v>SoundWave</v>
      </c>
    </row>
    <row r="935" spans="1:8" x14ac:dyDescent="0.3">
      <c r="A935">
        <v>1934</v>
      </c>
      <c r="B935">
        <v>637</v>
      </c>
      <c r="C935" t="s">
        <v>173</v>
      </c>
      <c r="D935" s="5">
        <v>45580</v>
      </c>
      <c r="E935" t="s">
        <v>14</v>
      </c>
      <c r="F935">
        <v>12</v>
      </c>
      <c r="G935" t="str">
        <f>VLOOKUP(Table28[[#This Row],[SKU]],Supplier_Products[[#All],[Supplier]:[SKU]],3,FALSE)</f>
        <v>SafeTech</v>
      </c>
      <c r="H935" t="str" cm="1">
        <f t="array" ref="H935">_xlfn.XLOOKUP(Table28[[#This Row],[SKU]],Supplier_Products[[#All],[SKU]],Supplier_Products[[#All],[Supplier]])</f>
        <v>SafeTech</v>
      </c>
    </row>
    <row r="936" spans="1:8" x14ac:dyDescent="0.3">
      <c r="A936">
        <v>1935</v>
      </c>
      <c r="B936">
        <v>576</v>
      </c>
      <c r="C936" t="s">
        <v>121</v>
      </c>
      <c r="D936" s="5">
        <v>45326</v>
      </c>
      <c r="E936" t="s">
        <v>186</v>
      </c>
      <c r="F936">
        <v>20</v>
      </c>
      <c r="G936" t="str">
        <f>VLOOKUP(Table28[[#This Row],[SKU]],Supplier_Products[[#All],[Supplier]:[SKU]],3,FALSE)</f>
        <v>ClickTech</v>
      </c>
      <c r="H936" t="str" cm="1">
        <f t="array" ref="H936">_xlfn.XLOOKUP(Table28[[#This Row],[SKU]],Supplier_Products[[#All],[SKU]],Supplier_Products[[#All],[Supplier]])</f>
        <v>ClickTech</v>
      </c>
    </row>
    <row r="937" spans="1:8" x14ac:dyDescent="0.3">
      <c r="A937">
        <v>1936</v>
      </c>
      <c r="B937">
        <v>687</v>
      </c>
      <c r="C937" t="s">
        <v>158</v>
      </c>
      <c r="D937" s="5">
        <v>45545</v>
      </c>
      <c r="E937" t="s">
        <v>186</v>
      </c>
      <c r="F937">
        <v>12</v>
      </c>
      <c r="G937" t="str">
        <f>VLOOKUP(Table28[[#This Row],[SKU]],Supplier_Products[[#All],[Supplier]:[SKU]],3,FALSE)</f>
        <v>ClickTech</v>
      </c>
      <c r="H937" t="str" cm="1">
        <f t="array" ref="H937">_xlfn.XLOOKUP(Table28[[#This Row],[SKU]],Supplier_Products[[#All],[SKU]],Supplier_Products[[#All],[Supplier]])</f>
        <v>ClickTech</v>
      </c>
    </row>
    <row r="938" spans="1:8" x14ac:dyDescent="0.3">
      <c r="A938">
        <v>1937</v>
      </c>
      <c r="B938">
        <v>685</v>
      </c>
      <c r="C938" t="s">
        <v>173</v>
      </c>
      <c r="D938" s="5">
        <v>45619</v>
      </c>
      <c r="E938" t="s">
        <v>14</v>
      </c>
      <c r="F938">
        <v>14</v>
      </c>
      <c r="G938" t="str">
        <f>VLOOKUP(Table28[[#This Row],[SKU]],Supplier_Products[[#All],[Supplier]:[SKU]],3,FALSE)</f>
        <v>SafeTech</v>
      </c>
      <c r="H938" t="str" cm="1">
        <f t="array" ref="H938">_xlfn.XLOOKUP(Table28[[#This Row],[SKU]],Supplier_Products[[#All],[SKU]],Supplier_Products[[#All],[Supplier]])</f>
        <v>SafeTech</v>
      </c>
    </row>
    <row r="939" spans="1:8" x14ac:dyDescent="0.3">
      <c r="A939">
        <v>1938</v>
      </c>
      <c r="B939">
        <v>695</v>
      </c>
      <c r="C939" t="s">
        <v>178</v>
      </c>
      <c r="D939" s="5">
        <v>45365</v>
      </c>
      <c r="E939" t="s">
        <v>13</v>
      </c>
      <c r="F939">
        <v>7</v>
      </c>
      <c r="G939" t="str">
        <f>VLOOKUP(Table28[[#This Row],[SKU]],Supplier_Products[[#All],[Supplier]:[SKU]],3,FALSE)</f>
        <v>DockIt</v>
      </c>
      <c r="H939" t="str" cm="1">
        <f t="array" ref="H939">_xlfn.XLOOKUP(Table28[[#This Row],[SKU]],Supplier_Products[[#All],[SKU]],Supplier_Products[[#All],[Supplier]])</f>
        <v>DockIt</v>
      </c>
    </row>
    <row r="940" spans="1:8" x14ac:dyDescent="0.3">
      <c r="A940">
        <v>1939</v>
      </c>
      <c r="B940">
        <v>700</v>
      </c>
      <c r="C940" t="s">
        <v>169</v>
      </c>
      <c r="D940" s="5">
        <v>45455</v>
      </c>
      <c r="E940" t="s">
        <v>14</v>
      </c>
      <c r="F940">
        <v>4</v>
      </c>
      <c r="G940" t="str">
        <f>VLOOKUP(Table28[[#This Row],[SKU]],Supplier_Products[[#All],[Supplier]:[SKU]],3,FALSE)</f>
        <v>SafeDrive</v>
      </c>
      <c r="H940" t="str" cm="1">
        <f t="array" ref="H940">_xlfn.XLOOKUP(Table28[[#This Row],[SKU]],Supplier_Products[[#All],[SKU]],Supplier_Products[[#All],[Supplier]])</f>
        <v>SafeDrive</v>
      </c>
    </row>
    <row r="941" spans="1:8" x14ac:dyDescent="0.3">
      <c r="A941">
        <v>1940</v>
      </c>
      <c r="B941">
        <v>530</v>
      </c>
      <c r="C941" t="s">
        <v>156</v>
      </c>
      <c r="D941" s="5">
        <v>45519</v>
      </c>
      <c r="E941" t="s">
        <v>186</v>
      </c>
      <c r="F941">
        <v>6</v>
      </c>
      <c r="G941" t="str">
        <f>VLOOKUP(Table28[[#This Row],[SKU]],Supplier_Products[[#All],[Supplier]:[SKU]],3,FALSE)</f>
        <v>ClickTech</v>
      </c>
      <c r="H941" t="str" cm="1">
        <f t="array" ref="H941">_xlfn.XLOOKUP(Table28[[#This Row],[SKU]],Supplier_Products[[#All],[SKU]],Supplier_Products[[#All],[Supplier]])</f>
        <v>ClickTech</v>
      </c>
    </row>
    <row r="942" spans="1:8" x14ac:dyDescent="0.3">
      <c r="A942">
        <v>1941</v>
      </c>
      <c r="B942">
        <v>585</v>
      </c>
      <c r="C942" t="s">
        <v>123</v>
      </c>
      <c r="D942" s="5">
        <v>45393</v>
      </c>
      <c r="E942" t="s">
        <v>189</v>
      </c>
      <c r="F942">
        <v>3</v>
      </c>
      <c r="G942" t="str">
        <f>VLOOKUP(Table28[[#This Row],[SKU]],Supplier_Products[[#All],[Supplier]:[SKU]],3,FALSE)</f>
        <v>VRWorld</v>
      </c>
      <c r="H942" t="str" cm="1">
        <f t="array" ref="H942">_xlfn.XLOOKUP(Table28[[#This Row],[SKU]],Supplier_Products[[#All],[SKU]],Supplier_Products[[#All],[Supplier]])</f>
        <v>VRWorld</v>
      </c>
    </row>
    <row r="943" spans="1:8" x14ac:dyDescent="0.3">
      <c r="A943">
        <v>1942</v>
      </c>
      <c r="B943">
        <v>575</v>
      </c>
      <c r="C943" t="s">
        <v>114</v>
      </c>
      <c r="D943" s="5">
        <v>45623</v>
      </c>
      <c r="E943" t="s">
        <v>189</v>
      </c>
      <c r="F943">
        <v>11</v>
      </c>
      <c r="G943" t="str">
        <f>VLOOKUP(Table28[[#This Row],[SKU]],Supplier_Products[[#All],[Supplier]:[SKU]],3,FALSE)</f>
        <v>VisionTech</v>
      </c>
      <c r="H943" t="str" cm="1">
        <f t="array" ref="H943">_xlfn.XLOOKUP(Table28[[#This Row],[SKU]],Supplier_Products[[#All],[SKU]],Supplier_Products[[#All],[Supplier]])</f>
        <v>VisionTech</v>
      </c>
    </row>
    <row r="944" spans="1:8" x14ac:dyDescent="0.3">
      <c r="A944">
        <v>1943</v>
      </c>
      <c r="B944">
        <v>737</v>
      </c>
      <c r="C944" t="s">
        <v>175</v>
      </c>
      <c r="D944" s="5">
        <v>45313</v>
      </c>
      <c r="E944" t="s">
        <v>186</v>
      </c>
      <c r="F944">
        <v>6</v>
      </c>
      <c r="G944" t="str">
        <f>VLOOKUP(Table28[[#This Row],[SKU]],Supplier_Products[[#All],[Supplier]:[SKU]],3,FALSE)</f>
        <v>DisplayPro</v>
      </c>
      <c r="H944" t="str" cm="1">
        <f t="array" ref="H944">_xlfn.XLOOKUP(Table28[[#This Row],[SKU]],Supplier_Products[[#All],[SKU]],Supplier_Products[[#All],[Supplier]])</f>
        <v>DisplayPro</v>
      </c>
    </row>
    <row r="945" spans="1:8" x14ac:dyDescent="0.3">
      <c r="A945">
        <v>1944</v>
      </c>
      <c r="B945">
        <v>728</v>
      </c>
      <c r="C945" t="s">
        <v>169</v>
      </c>
      <c r="D945" s="5">
        <v>45473</v>
      </c>
      <c r="E945" t="s">
        <v>14</v>
      </c>
      <c r="F945">
        <v>1</v>
      </c>
      <c r="G945" t="str">
        <f>VLOOKUP(Table28[[#This Row],[SKU]],Supplier_Products[[#All],[Supplier]:[SKU]],3,FALSE)</f>
        <v>SafeDrive</v>
      </c>
      <c r="H945" t="str" cm="1">
        <f t="array" ref="H945">_xlfn.XLOOKUP(Table28[[#This Row],[SKU]],Supplier_Products[[#All],[SKU]],Supplier_Products[[#All],[Supplier]])</f>
        <v>SafeDrive</v>
      </c>
    </row>
    <row r="946" spans="1:8" x14ac:dyDescent="0.3">
      <c r="A946">
        <v>1945</v>
      </c>
      <c r="B946">
        <v>639</v>
      </c>
      <c r="C946" t="s">
        <v>7</v>
      </c>
      <c r="D946" s="5">
        <v>45341</v>
      </c>
      <c r="E946" t="s">
        <v>13</v>
      </c>
      <c r="F946">
        <v>11</v>
      </c>
      <c r="G946" t="str">
        <f>VLOOKUP(Table28[[#This Row],[SKU]],Supplier_Products[[#All],[Supplier]:[SKU]],3,FALSE)</f>
        <v>SoundCo</v>
      </c>
      <c r="H946" t="str" cm="1">
        <f t="array" ref="H946">_xlfn.XLOOKUP(Table28[[#This Row],[SKU]],Supplier_Products[[#All],[SKU]],Supplier_Products[[#All],[Supplier]])</f>
        <v>SoundCo</v>
      </c>
    </row>
    <row r="947" spans="1:8" x14ac:dyDescent="0.3">
      <c r="A947">
        <v>1946</v>
      </c>
      <c r="B947">
        <v>501</v>
      </c>
      <c r="C947" t="s">
        <v>7</v>
      </c>
      <c r="D947" s="5">
        <v>45460</v>
      </c>
      <c r="E947" t="s">
        <v>13</v>
      </c>
      <c r="F947">
        <v>19</v>
      </c>
      <c r="G947" t="str">
        <f>VLOOKUP(Table28[[#This Row],[SKU]],Supplier_Products[[#All],[Supplier]:[SKU]],3,FALSE)</f>
        <v>SoundCo</v>
      </c>
      <c r="H947" t="str" cm="1">
        <f t="array" ref="H947">_xlfn.XLOOKUP(Table28[[#This Row],[SKU]],Supplier_Products[[#All],[SKU]],Supplier_Products[[#All],[Supplier]])</f>
        <v>SoundCo</v>
      </c>
    </row>
    <row r="948" spans="1:8" x14ac:dyDescent="0.3">
      <c r="A948">
        <v>1947</v>
      </c>
      <c r="B948">
        <v>657</v>
      </c>
      <c r="C948" t="s">
        <v>181</v>
      </c>
      <c r="D948" s="5">
        <v>45577</v>
      </c>
      <c r="E948" t="s">
        <v>12</v>
      </c>
      <c r="F948">
        <v>18</v>
      </c>
      <c r="G948" t="str">
        <f>VLOOKUP(Table28[[#This Row],[SKU]],Supplier_Products[[#All],[Supplier]:[SKU]],3,FALSE)</f>
        <v>PhotoFrame Inc.</v>
      </c>
      <c r="H948" t="str" cm="1">
        <f t="array" ref="H948">_xlfn.XLOOKUP(Table28[[#This Row],[SKU]],Supplier_Products[[#All],[SKU]],Supplier_Products[[#All],[Supplier]])</f>
        <v>PhotoFrame Inc.</v>
      </c>
    </row>
    <row r="949" spans="1:8" x14ac:dyDescent="0.3">
      <c r="A949">
        <v>1948</v>
      </c>
      <c r="B949">
        <v>566</v>
      </c>
      <c r="C949" t="s">
        <v>73</v>
      </c>
      <c r="D949" s="5">
        <v>45389</v>
      </c>
      <c r="E949" t="s">
        <v>186</v>
      </c>
      <c r="F949">
        <v>8</v>
      </c>
      <c r="G949" t="str">
        <f>VLOOKUP(Table28[[#This Row],[SKU]],Supplier_Products[[#All],[Supplier]:[SKU]],3,FALSE)</f>
        <v>ClickTech</v>
      </c>
      <c r="H949" t="str" cm="1">
        <f t="array" ref="H949">_xlfn.XLOOKUP(Table28[[#This Row],[SKU]],Supplier_Products[[#All],[SKU]],Supplier_Products[[#All],[Supplier]])</f>
        <v>ClickTech</v>
      </c>
    </row>
    <row r="950" spans="1:8" x14ac:dyDescent="0.3">
      <c r="A950">
        <v>1949</v>
      </c>
      <c r="B950">
        <v>748</v>
      </c>
      <c r="C950" t="s">
        <v>150</v>
      </c>
      <c r="D950" s="5">
        <v>45393</v>
      </c>
      <c r="E950" t="s">
        <v>187</v>
      </c>
      <c r="F950">
        <v>10</v>
      </c>
      <c r="G950" t="str">
        <f>VLOOKUP(Table28[[#This Row],[SKU]],Supplier_Products[[#All],[Supplier]:[SKU]],3,FALSE)</f>
        <v>ShutterPro</v>
      </c>
      <c r="H950" t="str" cm="1">
        <f t="array" ref="H950">_xlfn.XLOOKUP(Table28[[#This Row],[SKU]],Supplier_Products[[#All],[SKU]],Supplier_Products[[#All],[Supplier]])</f>
        <v>ShutterPro</v>
      </c>
    </row>
    <row r="951" spans="1:8" x14ac:dyDescent="0.3">
      <c r="A951">
        <v>1950</v>
      </c>
      <c r="B951">
        <v>632</v>
      </c>
      <c r="C951" t="s">
        <v>160</v>
      </c>
      <c r="D951" s="5">
        <v>45427</v>
      </c>
      <c r="E951" t="s">
        <v>13</v>
      </c>
      <c r="F951">
        <v>9</v>
      </c>
      <c r="G951" t="str">
        <f>VLOOKUP(Table28[[#This Row],[SKU]],Supplier_Products[[#All],[Supplier]:[SKU]],3,FALSE)</f>
        <v>SoundCo</v>
      </c>
      <c r="H951" t="str" cm="1">
        <f t="array" ref="H951">_xlfn.XLOOKUP(Table28[[#This Row],[SKU]],Supplier_Products[[#All],[SKU]],Supplier_Products[[#All],[Supplier]])</f>
        <v>SoundCo</v>
      </c>
    </row>
    <row r="952" spans="1:8" x14ac:dyDescent="0.3">
      <c r="A952">
        <v>1951</v>
      </c>
      <c r="B952">
        <v>657</v>
      </c>
      <c r="C952" t="s">
        <v>117</v>
      </c>
      <c r="D952" s="5">
        <v>45380</v>
      </c>
      <c r="E952" t="s">
        <v>190</v>
      </c>
      <c r="F952">
        <v>4</v>
      </c>
      <c r="G952" t="str">
        <f>VLOOKUP(Table28[[#This Row],[SKU]],Supplier_Products[[#All],[Supplier]:[SKU]],3,FALSE)</f>
        <v>DataSafe</v>
      </c>
      <c r="H952" t="str" cm="1">
        <f t="array" ref="H952">_xlfn.XLOOKUP(Table28[[#This Row],[SKU]],Supplier_Products[[#All],[SKU]],Supplier_Products[[#All],[Supplier]])</f>
        <v>DataSafe</v>
      </c>
    </row>
    <row r="953" spans="1:8" x14ac:dyDescent="0.3">
      <c r="A953">
        <v>1952</v>
      </c>
      <c r="B953">
        <v>680</v>
      </c>
      <c r="C953" t="s">
        <v>110</v>
      </c>
      <c r="D953" s="5">
        <v>45618</v>
      </c>
      <c r="E953" t="s">
        <v>188</v>
      </c>
      <c r="F953">
        <v>17</v>
      </c>
      <c r="G953" t="str">
        <f>VLOOKUP(Table28[[#This Row],[SKU]],Supplier_Products[[#All],[Supplier]:[SKU]],3,FALSE)</f>
        <v>PlayMax</v>
      </c>
      <c r="H953" t="str" cm="1">
        <f t="array" ref="H953">_xlfn.XLOOKUP(Table28[[#This Row],[SKU]],Supplier_Products[[#All],[SKU]],Supplier_Products[[#All],[Supplier]])</f>
        <v>PlayMax</v>
      </c>
    </row>
    <row r="954" spans="1:8" x14ac:dyDescent="0.3">
      <c r="A954">
        <v>1953</v>
      </c>
      <c r="B954">
        <v>552</v>
      </c>
      <c r="C954" t="s">
        <v>169</v>
      </c>
      <c r="D954" s="5">
        <v>45657</v>
      </c>
      <c r="E954" t="s">
        <v>14</v>
      </c>
      <c r="F954">
        <v>18</v>
      </c>
      <c r="G954" t="str">
        <f>VLOOKUP(Table28[[#This Row],[SKU]],Supplier_Products[[#All],[Supplier]:[SKU]],3,FALSE)</f>
        <v>SafeDrive</v>
      </c>
      <c r="H954" t="str" cm="1">
        <f t="array" ref="H954">_xlfn.XLOOKUP(Table28[[#This Row],[SKU]],Supplier_Products[[#All],[SKU]],Supplier_Products[[#All],[Supplier]])</f>
        <v>SafeDrive</v>
      </c>
    </row>
    <row r="955" spans="1:8" x14ac:dyDescent="0.3">
      <c r="A955">
        <v>1954</v>
      </c>
      <c r="B955">
        <v>636</v>
      </c>
      <c r="C955" t="s">
        <v>73</v>
      </c>
      <c r="D955" s="5">
        <v>45381</v>
      </c>
      <c r="E955" t="s">
        <v>186</v>
      </c>
      <c r="F955">
        <v>1</v>
      </c>
      <c r="G955" t="str">
        <f>VLOOKUP(Table28[[#This Row],[SKU]],Supplier_Products[[#All],[Supplier]:[SKU]],3,FALSE)</f>
        <v>ClickTech</v>
      </c>
      <c r="H955" t="str" cm="1">
        <f t="array" ref="H955">_xlfn.XLOOKUP(Table28[[#This Row],[SKU]],Supplier_Products[[#All],[SKU]],Supplier_Products[[#All],[Supplier]])</f>
        <v>ClickTech</v>
      </c>
    </row>
    <row r="956" spans="1:8" x14ac:dyDescent="0.3">
      <c r="A956">
        <v>1955</v>
      </c>
      <c r="B956">
        <v>654</v>
      </c>
      <c r="C956" t="s">
        <v>9</v>
      </c>
      <c r="D956" s="5">
        <v>45651</v>
      </c>
      <c r="E956" t="s">
        <v>14</v>
      </c>
      <c r="F956">
        <v>12</v>
      </c>
      <c r="G956" t="str">
        <f>VLOOKUP(Table28[[#This Row],[SKU]],Supplier_Products[[#All],[Supplier]:[SKU]],3,FALSE)</f>
        <v>CompuTech</v>
      </c>
      <c r="H956" t="str" cm="1">
        <f t="array" ref="H956">_xlfn.XLOOKUP(Table28[[#This Row],[SKU]],Supplier_Products[[#All],[SKU]],Supplier_Products[[#All],[Supplier]])</f>
        <v>CompuTech</v>
      </c>
    </row>
    <row r="957" spans="1:8" x14ac:dyDescent="0.3">
      <c r="A957">
        <v>1956</v>
      </c>
      <c r="B957">
        <v>544</v>
      </c>
      <c r="C957" t="s">
        <v>133</v>
      </c>
      <c r="D957" s="5">
        <v>45566</v>
      </c>
      <c r="E957" t="s">
        <v>14</v>
      </c>
      <c r="F957">
        <v>12</v>
      </c>
      <c r="G957" t="str">
        <f>VLOOKUP(Table28[[#This Row],[SKU]],Supplier_Products[[#All],[Supplier]:[SKU]],3,FALSE)</f>
        <v>SafeTech</v>
      </c>
      <c r="H957" t="str" cm="1">
        <f t="array" ref="H957">_xlfn.XLOOKUP(Table28[[#This Row],[SKU]],Supplier_Products[[#All],[SKU]],Supplier_Products[[#All],[Supplier]])</f>
        <v>SafeTech</v>
      </c>
    </row>
    <row r="958" spans="1:8" x14ac:dyDescent="0.3">
      <c r="A958">
        <v>1957</v>
      </c>
      <c r="B958">
        <v>628</v>
      </c>
      <c r="C958" t="s">
        <v>145</v>
      </c>
      <c r="D958" s="5">
        <v>45648</v>
      </c>
      <c r="E958" t="s">
        <v>190</v>
      </c>
      <c r="F958">
        <v>20</v>
      </c>
      <c r="G958" t="str">
        <f>VLOOKUP(Table28[[#This Row],[SKU]],Supplier_Products[[#All],[Supplier]:[SKU]],3,FALSE)</f>
        <v>BrightHome</v>
      </c>
      <c r="H958" t="str" cm="1">
        <f t="array" ref="H958">_xlfn.XLOOKUP(Table28[[#This Row],[SKU]],Supplier_Products[[#All],[SKU]],Supplier_Products[[#All],[Supplier]])</f>
        <v>BrightHome</v>
      </c>
    </row>
    <row r="959" spans="1:8" x14ac:dyDescent="0.3">
      <c r="A959">
        <v>1958</v>
      </c>
      <c r="B959">
        <v>724</v>
      </c>
      <c r="C959" t="s">
        <v>166</v>
      </c>
      <c r="D959" s="5">
        <v>45298</v>
      </c>
      <c r="E959" t="s">
        <v>191</v>
      </c>
      <c r="F959">
        <v>4</v>
      </c>
      <c r="G959" t="str">
        <f>VLOOKUP(Table28[[#This Row],[SKU]],Supplier_Products[[#All],[Supplier]:[SKU]],3,FALSE)</f>
        <v>BookTech</v>
      </c>
      <c r="H959" t="str" cm="1">
        <f t="array" ref="H959">_xlfn.XLOOKUP(Table28[[#This Row],[SKU]],Supplier_Products[[#All],[SKU]],Supplier_Products[[#All],[Supplier]])</f>
        <v>BookTech</v>
      </c>
    </row>
    <row r="960" spans="1:8" x14ac:dyDescent="0.3">
      <c r="A960">
        <v>1959</v>
      </c>
      <c r="B960">
        <v>524</v>
      </c>
      <c r="C960" t="s">
        <v>9</v>
      </c>
      <c r="D960" s="5">
        <v>45324</v>
      </c>
      <c r="E960" t="s">
        <v>14</v>
      </c>
      <c r="F960">
        <v>1</v>
      </c>
      <c r="G960" t="str">
        <f>VLOOKUP(Table28[[#This Row],[SKU]],Supplier_Products[[#All],[Supplier]:[SKU]],3,FALSE)</f>
        <v>CompuTech</v>
      </c>
      <c r="H960" t="str" cm="1">
        <f t="array" ref="H960">_xlfn.XLOOKUP(Table28[[#This Row],[SKU]],Supplier_Products[[#All],[SKU]],Supplier_Products[[#All],[Supplier]])</f>
        <v>CompuTech</v>
      </c>
    </row>
    <row r="961" spans="1:8" x14ac:dyDescent="0.3">
      <c r="A961">
        <v>1960</v>
      </c>
      <c r="B961">
        <v>744</v>
      </c>
      <c r="C961" t="s">
        <v>133</v>
      </c>
      <c r="D961" s="5">
        <v>45310</v>
      </c>
      <c r="E961" t="s">
        <v>14</v>
      </c>
      <c r="F961">
        <v>4</v>
      </c>
      <c r="G961" t="str">
        <f>VLOOKUP(Table28[[#This Row],[SKU]],Supplier_Products[[#All],[Supplier]:[SKU]],3,FALSE)</f>
        <v>SafeTech</v>
      </c>
      <c r="H961" t="str" cm="1">
        <f t="array" ref="H961">_xlfn.XLOOKUP(Table28[[#This Row],[SKU]],Supplier_Products[[#All],[SKU]],Supplier_Products[[#All],[Supplier]])</f>
        <v>SafeTech</v>
      </c>
    </row>
    <row r="962" spans="1:8" x14ac:dyDescent="0.3">
      <c r="A962">
        <v>1961</v>
      </c>
      <c r="B962">
        <v>659</v>
      </c>
      <c r="C962" t="s">
        <v>7</v>
      </c>
      <c r="D962" s="5">
        <v>45551</v>
      </c>
      <c r="E962" t="s">
        <v>13</v>
      </c>
      <c r="F962">
        <v>12</v>
      </c>
      <c r="G962" t="str">
        <f>VLOOKUP(Table28[[#This Row],[SKU]],Supplier_Products[[#All],[Supplier]:[SKU]],3,FALSE)</f>
        <v>SoundCo</v>
      </c>
      <c r="H962" t="str" cm="1">
        <f t="array" ref="H962">_xlfn.XLOOKUP(Table28[[#This Row],[SKU]],Supplier_Products[[#All],[SKU]],Supplier_Products[[#All],[Supplier]])</f>
        <v>SoundCo</v>
      </c>
    </row>
    <row r="963" spans="1:8" x14ac:dyDescent="0.3">
      <c r="A963">
        <v>1962</v>
      </c>
      <c r="B963">
        <v>683</v>
      </c>
      <c r="C963" t="s">
        <v>6</v>
      </c>
      <c r="D963" s="5">
        <v>45461</v>
      </c>
      <c r="E963" t="s">
        <v>12</v>
      </c>
      <c r="F963">
        <v>1</v>
      </c>
      <c r="G963" t="str">
        <f>VLOOKUP(Table28[[#This Row],[SKU]],Supplier_Products[[#All],[Supplier]:[SKU]],3,FALSE)</f>
        <v>TechCorp</v>
      </c>
      <c r="H963" t="str" cm="1">
        <f t="array" ref="H963">_xlfn.XLOOKUP(Table28[[#This Row],[SKU]],Supplier_Products[[#All],[SKU]],Supplier_Products[[#All],[Supplier]])</f>
        <v>TechCorp</v>
      </c>
    </row>
    <row r="964" spans="1:8" x14ac:dyDescent="0.3">
      <c r="A964">
        <v>1963</v>
      </c>
      <c r="B964">
        <v>683</v>
      </c>
      <c r="C964" t="s">
        <v>126</v>
      </c>
      <c r="D964" s="5">
        <v>45316</v>
      </c>
      <c r="E964" t="s">
        <v>191</v>
      </c>
      <c r="F964">
        <v>3</v>
      </c>
      <c r="G964" t="str">
        <f>VLOOKUP(Table28[[#This Row],[SKU]],Supplier_Products[[#All],[Supplier]:[SKU]],3,FALSE)</f>
        <v>FitTech</v>
      </c>
      <c r="H964" t="str" cm="1">
        <f t="array" ref="H964">_xlfn.XLOOKUP(Table28[[#This Row],[SKU]],Supplier_Products[[#All],[SKU]],Supplier_Products[[#All],[Supplier]])</f>
        <v>FitTech</v>
      </c>
    </row>
    <row r="965" spans="1:8" x14ac:dyDescent="0.3">
      <c r="A965">
        <v>1964</v>
      </c>
      <c r="B965">
        <v>725</v>
      </c>
      <c r="C965" t="s">
        <v>154</v>
      </c>
      <c r="D965" s="5">
        <v>45448</v>
      </c>
      <c r="E965" t="s">
        <v>187</v>
      </c>
      <c r="F965">
        <v>7</v>
      </c>
      <c r="G965" t="str">
        <f>VLOOKUP(Table28[[#This Row],[SKU]],Supplier_Products[[#All],[Supplier]:[SKU]],3,FALSE)</f>
        <v>ShutterPro</v>
      </c>
      <c r="H965" t="str" cm="1">
        <f t="array" ref="H965">_xlfn.XLOOKUP(Table28[[#This Row],[SKU]],Supplier_Products[[#All],[SKU]],Supplier_Products[[#All],[Supplier]])</f>
        <v>ShutterPro</v>
      </c>
    </row>
    <row r="966" spans="1:8" x14ac:dyDescent="0.3">
      <c r="A966">
        <v>1965</v>
      </c>
      <c r="B966">
        <v>718</v>
      </c>
      <c r="C966" t="s">
        <v>140</v>
      </c>
      <c r="D966" s="5">
        <v>45420</v>
      </c>
      <c r="E966" t="s">
        <v>187</v>
      </c>
      <c r="F966">
        <v>1</v>
      </c>
      <c r="G966" t="str">
        <f>VLOOKUP(Table28[[#This Row],[SKU]],Supplier_Products[[#All],[Supplier]:[SKU]],3,FALSE)</f>
        <v>SoundWave</v>
      </c>
      <c r="H966" t="str" cm="1">
        <f t="array" ref="H966">_xlfn.XLOOKUP(Table28[[#This Row],[SKU]],Supplier_Products[[#All],[SKU]],Supplier_Products[[#All],[Supplier]])</f>
        <v>SoundWave</v>
      </c>
    </row>
    <row r="967" spans="1:8" x14ac:dyDescent="0.3">
      <c r="A967">
        <v>1966</v>
      </c>
      <c r="B967">
        <v>520</v>
      </c>
      <c r="C967" t="s">
        <v>11</v>
      </c>
      <c r="D967" s="5">
        <v>45380</v>
      </c>
      <c r="E967" t="s">
        <v>12</v>
      </c>
      <c r="F967">
        <v>19</v>
      </c>
      <c r="G967" t="str">
        <f>VLOOKUP(Table28[[#This Row],[SKU]],Supplier_Products[[#All],[Supplier]:[SKU]],3,FALSE)</f>
        <v>ChargePro</v>
      </c>
      <c r="H967" t="str" cm="1">
        <f t="array" ref="H967">_xlfn.XLOOKUP(Table28[[#This Row],[SKU]],Supplier_Products[[#All],[SKU]],Supplier_Products[[#All],[Supplier]])</f>
        <v>ChargePro</v>
      </c>
    </row>
    <row r="968" spans="1:8" x14ac:dyDescent="0.3">
      <c r="A968">
        <v>1967</v>
      </c>
      <c r="B968">
        <v>551</v>
      </c>
      <c r="C968" t="s">
        <v>158</v>
      </c>
      <c r="D968" s="5">
        <v>45471</v>
      </c>
      <c r="E968" t="s">
        <v>186</v>
      </c>
      <c r="F968">
        <v>14</v>
      </c>
      <c r="G968" t="str">
        <f>VLOOKUP(Table28[[#This Row],[SKU]],Supplier_Products[[#All],[Supplier]:[SKU]],3,FALSE)</f>
        <v>ClickTech</v>
      </c>
      <c r="H968" t="str" cm="1">
        <f t="array" ref="H968">_xlfn.XLOOKUP(Table28[[#This Row],[SKU]],Supplier_Products[[#All],[SKU]],Supplier_Products[[#All],[Supplier]])</f>
        <v>ClickTech</v>
      </c>
    </row>
    <row r="969" spans="1:8" x14ac:dyDescent="0.3">
      <c r="A969">
        <v>1968</v>
      </c>
      <c r="B969">
        <v>532</v>
      </c>
      <c r="C969" t="s">
        <v>184</v>
      </c>
      <c r="D969" s="5">
        <v>45443</v>
      </c>
      <c r="E969" t="s">
        <v>189</v>
      </c>
      <c r="F969">
        <v>8</v>
      </c>
      <c r="G969" t="str">
        <f>VLOOKUP(Table28[[#This Row],[SKU]],Supplier_Products[[#All],[Supplier]:[SKU]],3,FALSE)</f>
        <v>VisionTech</v>
      </c>
      <c r="H969" t="str" cm="1">
        <f t="array" ref="H969">_xlfn.XLOOKUP(Table28[[#This Row],[SKU]],Supplier_Products[[#All],[SKU]],Supplier_Products[[#All],[Supplier]])</f>
        <v>VisionTech</v>
      </c>
    </row>
    <row r="970" spans="1:8" x14ac:dyDescent="0.3">
      <c r="A970">
        <v>1969</v>
      </c>
      <c r="B970">
        <v>571</v>
      </c>
      <c r="C970" t="s">
        <v>160</v>
      </c>
      <c r="D970" s="5">
        <v>45628</v>
      </c>
      <c r="E970" t="s">
        <v>13</v>
      </c>
      <c r="F970">
        <v>9</v>
      </c>
      <c r="G970" t="str">
        <f>VLOOKUP(Table28[[#This Row],[SKU]],Supplier_Products[[#All],[Supplier]:[SKU]],3,FALSE)</f>
        <v>SoundCo</v>
      </c>
      <c r="H970" t="str" cm="1">
        <f t="array" ref="H970">_xlfn.XLOOKUP(Table28[[#This Row],[SKU]],Supplier_Products[[#All],[SKU]],Supplier_Products[[#All],[Supplier]])</f>
        <v>SoundCo</v>
      </c>
    </row>
    <row r="971" spans="1:8" x14ac:dyDescent="0.3">
      <c r="A971">
        <v>1970</v>
      </c>
      <c r="B971">
        <v>525</v>
      </c>
      <c r="C971" t="s">
        <v>145</v>
      </c>
      <c r="D971" s="5">
        <v>45332</v>
      </c>
      <c r="E971" t="s">
        <v>190</v>
      </c>
      <c r="F971">
        <v>5</v>
      </c>
      <c r="G971" t="str">
        <f>VLOOKUP(Table28[[#This Row],[SKU]],Supplier_Products[[#All],[Supplier]:[SKU]],3,FALSE)</f>
        <v>BrightHome</v>
      </c>
      <c r="H971" t="str" cm="1">
        <f t="array" ref="H971">_xlfn.XLOOKUP(Table28[[#This Row],[SKU]],Supplier_Products[[#All],[SKU]],Supplier_Products[[#All],[Supplier]])</f>
        <v>BrightHome</v>
      </c>
    </row>
    <row r="972" spans="1:8" x14ac:dyDescent="0.3">
      <c r="A972">
        <v>1971</v>
      </c>
      <c r="B972">
        <v>593</v>
      </c>
      <c r="C972" t="s">
        <v>123</v>
      </c>
      <c r="D972" s="5">
        <v>45423</v>
      </c>
      <c r="E972" t="s">
        <v>189</v>
      </c>
      <c r="F972">
        <v>4</v>
      </c>
      <c r="G972" t="str">
        <f>VLOOKUP(Table28[[#This Row],[SKU]],Supplier_Products[[#All],[Supplier]:[SKU]],3,FALSE)</f>
        <v>VRWorld</v>
      </c>
      <c r="H972" t="str" cm="1">
        <f t="array" ref="H972">_xlfn.XLOOKUP(Table28[[#This Row],[SKU]],Supplier_Products[[#All],[SKU]],Supplier_Products[[#All],[Supplier]])</f>
        <v>VRWorld</v>
      </c>
    </row>
    <row r="973" spans="1:8" x14ac:dyDescent="0.3">
      <c r="A973">
        <v>1972</v>
      </c>
      <c r="B973">
        <v>655</v>
      </c>
      <c r="C973" t="s">
        <v>117</v>
      </c>
      <c r="D973" s="5">
        <v>45426</v>
      </c>
      <c r="E973" t="s">
        <v>190</v>
      </c>
      <c r="F973">
        <v>14</v>
      </c>
      <c r="G973" t="str">
        <f>VLOOKUP(Table28[[#This Row],[SKU]],Supplier_Products[[#All],[Supplier]:[SKU]],3,FALSE)</f>
        <v>DataSafe</v>
      </c>
      <c r="H973" t="str" cm="1">
        <f t="array" ref="H973">_xlfn.XLOOKUP(Table28[[#This Row],[SKU]],Supplier_Products[[#All],[SKU]],Supplier_Products[[#All],[Supplier]])</f>
        <v>DataSafe</v>
      </c>
    </row>
    <row r="974" spans="1:8" x14ac:dyDescent="0.3">
      <c r="A974">
        <v>1973</v>
      </c>
      <c r="B974">
        <v>679</v>
      </c>
      <c r="C974" t="s">
        <v>73</v>
      </c>
      <c r="D974" s="5">
        <v>45392</v>
      </c>
      <c r="E974" t="s">
        <v>186</v>
      </c>
      <c r="F974">
        <v>12</v>
      </c>
      <c r="G974" t="str">
        <f>VLOOKUP(Table28[[#This Row],[SKU]],Supplier_Products[[#All],[Supplier]:[SKU]],3,FALSE)</f>
        <v>ClickTech</v>
      </c>
      <c r="H974" t="str" cm="1">
        <f t="array" ref="H974">_xlfn.XLOOKUP(Table28[[#This Row],[SKU]],Supplier_Products[[#All],[SKU]],Supplier_Products[[#All],[Supplier]])</f>
        <v>ClickTech</v>
      </c>
    </row>
    <row r="975" spans="1:8" x14ac:dyDescent="0.3">
      <c r="A975">
        <v>1974</v>
      </c>
      <c r="B975">
        <v>617</v>
      </c>
      <c r="C975" t="s">
        <v>137</v>
      </c>
      <c r="D975" s="5">
        <v>45544</v>
      </c>
      <c r="E975" t="s">
        <v>188</v>
      </c>
      <c r="F975">
        <v>6</v>
      </c>
      <c r="G975" t="str">
        <f>VLOOKUP(Table28[[#This Row],[SKU]],Supplier_Products[[#All],[Supplier]:[SKU]],3,FALSE)</f>
        <v>CleanBot</v>
      </c>
      <c r="H975" t="str" cm="1">
        <f t="array" ref="H975">_xlfn.XLOOKUP(Table28[[#This Row],[SKU]],Supplier_Products[[#All],[SKU]],Supplier_Products[[#All],[Supplier]])</f>
        <v>CleanBot</v>
      </c>
    </row>
    <row r="976" spans="1:8" x14ac:dyDescent="0.3">
      <c r="A976">
        <v>1975</v>
      </c>
      <c r="B976">
        <v>710</v>
      </c>
      <c r="C976" t="s">
        <v>11</v>
      </c>
      <c r="D976" s="5">
        <v>45444</v>
      </c>
      <c r="E976" t="s">
        <v>12</v>
      </c>
      <c r="F976">
        <v>1</v>
      </c>
      <c r="G976" t="str">
        <f>VLOOKUP(Table28[[#This Row],[SKU]],Supplier_Products[[#All],[Supplier]:[SKU]],3,FALSE)</f>
        <v>ChargePro</v>
      </c>
      <c r="H976" t="str" cm="1">
        <f t="array" ref="H976">_xlfn.XLOOKUP(Table28[[#This Row],[SKU]],Supplier_Products[[#All],[SKU]],Supplier_Products[[#All],[Supplier]])</f>
        <v>ChargePro</v>
      </c>
    </row>
    <row r="977" spans="1:8" x14ac:dyDescent="0.3">
      <c r="A977">
        <v>1976</v>
      </c>
      <c r="B977">
        <v>560</v>
      </c>
      <c r="C977" t="s">
        <v>150</v>
      </c>
      <c r="D977" s="5">
        <v>45620</v>
      </c>
      <c r="E977" t="s">
        <v>187</v>
      </c>
      <c r="F977">
        <v>12</v>
      </c>
      <c r="G977" t="str">
        <f>VLOOKUP(Table28[[#This Row],[SKU]],Supplier_Products[[#All],[Supplier]:[SKU]],3,FALSE)</f>
        <v>ShutterPro</v>
      </c>
      <c r="H977" t="str" cm="1">
        <f t="array" ref="H977">_xlfn.XLOOKUP(Table28[[#This Row],[SKU]],Supplier_Products[[#All],[SKU]],Supplier_Products[[#All],[Supplier]])</f>
        <v>ShutterPro</v>
      </c>
    </row>
    <row r="978" spans="1:8" x14ac:dyDescent="0.3">
      <c r="A978">
        <v>1977</v>
      </c>
      <c r="B978">
        <v>737</v>
      </c>
      <c r="C978" t="s">
        <v>173</v>
      </c>
      <c r="D978" s="5">
        <v>45502</v>
      </c>
      <c r="E978" t="s">
        <v>14</v>
      </c>
      <c r="F978">
        <v>11</v>
      </c>
      <c r="G978" t="str">
        <f>VLOOKUP(Table28[[#This Row],[SKU]],Supplier_Products[[#All],[Supplier]:[SKU]],3,FALSE)</f>
        <v>SafeTech</v>
      </c>
      <c r="H978" t="str" cm="1">
        <f t="array" ref="H978">_xlfn.XLOOKUP(Table28[[#This Row],[SKU]],Supplier_Products[[#All],[SKU]],Supplier_Products[[#All],[Supplier]])</f>
        <v>SafeTech</v>
      </c>
    </row>
    <row r="979" spans="1:8" x14ac:dyDescent="0.3">
      <c r="A979">
        <v>1978</v>
      </c>
      <c r="B979">
        <v>606</v>
      </c>
      <c r="C979" t="s">
        <v>181</v>
      </c>
      <c r="D979" s="5">
        <v>45360</v>
      </c>
      <c r="E979" t="s">
        <v>12</v>
      </c>
      <c r="F979">
        <v>5</v>
      </c>
      <c r="G979" t="str">
        <f>VLOOKUP(Table28[[#This Row],[SKU]],Supplier_Products[[#All],[Supplier]:[SKU]],3,FALSE)</f>
        <v>PhotoFrame Inc.</v>
      </c>
      <c r="H979" t="str" cm="1">
        <f t="array" ref="H979">_xlfn.XLOOKUP(Table28[[#This Row],[SKU]],Supplier_Products[[#All],[SKU]],Supplier_Products[[#All],[Supplier]])</f>
        <v>PhotoFrame Inc.</v>
      </c>
    </row>
    <row r="980" spans="1:8" x14ac:dyDescent="0.3">
      <c r="A980">
        <v>1979</v>
      </c>
      <c r="B980">
        <v>670</v>
      </c>
      <c r="C980" t="s">
        <v>110</v>
      </c>
      <c r="D980" s="5">
        <v>45539</v>
      </c>
      <c r="E980" t="s">
        <v>188</v>
      </c>
      <c r="F980">
        <v>15</v>
      </c>
      <c r="G980" t="str">
        <f>VLOOKUP(Table28[[#This Row],[SKU]],Supplier_Products[[#All],[Supplier]:[SKU]],3,FALSE)</f>
        <v>PlayMax</v>
      </c>
      <c r="H980" t="str" cm="1">
        <f t="array" ref="H980">_xlfn.XLOOKUP(Table28[[#This Row],[SKU]],Supplier_Products[[#All],[SKU]],Supplier_Products[[#All],[Supplier]])</f>
        <v>PlayMax</v>
      </c>
    </row>
    <row r="981" spans="1:8" x14ac:dyDescent="0.3">
      <c r="A981">
        <v>1980</v>
      </c>
      <c r="B981">
        <v>653</v>
      </c>
      <c r="C981" t="s">
        <v>154</v>
      </c>
      <c r="D981" s="5">
        <v>45635</v>
      </c>
      <c r="E981" t="s">
        <v>187</v>
      </c>
      <c r="F981">
        <v>13</v>
      </c>
      <c r="G981" t="str">
        <f>VLOOKUP(Table28[[#This Row],[SKU]],Supplier_Products[[#All],[Supplier]:[SKU]],3,FALSE)</f>
        <v>ShutterPro</v>
      </c>
      <c r="H981" t="str" cm="1">
        <f t="array" ref="H981">_xlfn.XLOOKUP(Table28[[#This Row],[SKU]],Supplier_Products[[#All],[SKU]],Supplier_Products[[#All],[Supplier]])</f>
        <v>ShutterPro</v>
      </c>
    </row>
    <row r="982" spans="1:8" x14ac:dyDescent="0.3">
      <c r="A982">
        <v>1981</v>
      </c>
      <c r="B982">
        <v>584</v>
      </c>
      <c r="C982" t="s">
        <v>181</v>
      </c>
      <c r="D982" s="5">
        <v>45428</v>
      </c>
      <c r="E982" t="s">
        <v>12</v>
      </c>
      <c r="F982">
        <v>4</v>
      </c>
      <c r="G982" t="str">
        <f>VLOOKUP(Table28[[#This Row],[SKU]],Supplier_Products[[#All],[Supplier]:[SKU]],3,FALSE)</f>
        <v>PhotoFrame Inc.</v>
      </c>
      <c r="H982" t="str" cm="1">
        <f t="array" ref="H982">_xlfn.XLOOKUP(Table28[[#This Row],[SKU]],Supplier_Products[[#All],[SKU]],Supplier_Products[[#All],[Supplier]])</f>
        <v>PhotoFrame Inc.</v>
      </c>
    </row>
    <row r="983" spans="1:8" x14ac:dyDescent="0.3">
      <c r="A983">
        <v>1982</v>
      </c>
      <c r="B983">
        <v>510</v>
      </c>
      <c r="C983" t="s">
        <v>154</v>
      </c>
      <c r="D983" s="5">
        <v>45532</v>
      </c>
      <c r="E983" t="s">
        <v>187</v>
      </c>
      <c r="F983">
        <v>16</v>
      </c>
      <c r="G983" t="str">
        <f>VLOOKUP(Table28[[#This Row],[SKU]],Supplier_Products[[#All],[Supplier]:[SKU]],3,FALSE)</f>
        <v>ShutterPro</v>
      </c>
      <c r="H983" t="str" cm="1">
        <f t="array" ref="H983">_xlfn.XLOOKUP(Table28[[#This Row],[SKU]],Supplier_Products[[#All],[SKU]],Supplier_Products[[#All],[Supplier]])</f>
        <v>ShutterPro</v>
      </c>
    </row>
    <row r="984" spans="1:8" x14ac:dyDescent="0.3">
      <c r="A984">
        <v>1983</v>
      </c>
      <c r="B984">
        <v>734</v>
      </c>
      <c r="C984" t="s">
        <v>181</v>
      </c>
      <c r="D984" s="5">
        <v>45411</v>
      </c>
      <c r="E984" t="s">
        <v>12</v>
      </c>
      <c r="F984">
        <v>13</v>
      </c>
      <c r="G984" t="str">
        <f>VLOOKUP(Table28[[#This Row],[SKU]],Supplier_Products[[#All],[Supplier]:[SKU]],3,FALSE)</f>
        <v>PhotoFrame Inc.</v>
      </c>
      <c r="H984" t="str" cm="1">
        <f t="array" ref="H984">_xlfn.XLOOKUP(Table28[[#This Row],[SKU]],Supplier_Products[[#All],[SKU]],Supplier_Products[[#All],[Supplier]])</f>
        <v>PhotoFrame Inc.</v>
      </c>
    </row>
    <row r="985" spans="1:8" x14ac:dyDescent="0.3">
      <c r="A985">
        <v>1984</v>
      </c>
      <c r="B985">
        <v>659</v>
      </c>
      <c r="C985" t="s">
        <v>158</v>
      </c>
      <c r="D985" s="5">
        <v>45443</v>
      </c>
      <c r="E985" t="s">
        <v>186</v>
      </c>
      <c r="F985">
        <v>6</v>
      </c>
      <c r="G985" t="str">
        <f>VLOOKUP(Table28[[#This Row],[SKU]],Supplier_Products[[#All],[Supplier]:[SKU]],3,FALSE)</f>
        <v>ClickTech</v>
      </c>
      <c r="H985" t="str" cm="1">
        <f t="array" ref="H985">_xlfn.XLOOKUP(Table28[[#This Row],[SKU]],Supplier_Products[[#All],[SKU]],Supplier_Products[[#All],[Supplier]])</f>
        <v>ClickTech</v>
      </c>
    </row>
    <row r="986" spans="1:8" x14ac:dyDescent="0.3">
      <c r="A986">
        <v>1985</v>
      </c>
      <c r="B986">
        <v>697</v>
      </c>
      <c r="C986" t="s">
        <v>184</v>
      </c>
      <c r="D986" s="5">
        <v>45479</v>
      </c>
      <c r="E986" t="s">
        <v>189</v>
      </c>
      <c r="F986">
        <v>13</v>
      </c>
      <c r="G986" t="str">
        <f>VLOOKUP(Table28[[#This Row],[SKU]],Supplier_Products[[#All],[Supplier]:[SKU]],3,FALSE)</f>
        <v>VisionTech</v>
      </c>
      <c r="H986" t="str" cm="1">
        <f t="array" ref="H986">_xlfn.XLOOKUP(Table28[[#This Row],[SKU]],Supplier_Products[[#All],[SKU]],Supplier_Products[[#All],[Supplier]])</f>
        <v>VisionTech</v>
      </c>
    </row>
    <row r="987" spans="1:8" x14ac:dyDescent="0.3">
      <c r="A987">
        <v>1986</v>
      </c>
      <c r="B987">
        <v>653</v>
      </c>
      <c r="C987" t="s">
        <v>160</v>
      </c>
      <c r="D987" s="5">
        <v>45640</v>
      </c>
      <c r="E987" t="s">
        <v>13</v>
      </c>
      <c r="F987">
        <v>16</v>
      </c>
      <c r="G987" t="str">
        <f>VLOOKUP(Table28[[#This Row],[SKU]],Supplier_Products[[#All],[Supplier]:[SKU]],3,FALSE)</f>
        <v>SoundCo</v>
      </c>
      <c r="H987" t="str" cm="1">
        <f t="array" ref="H987">_xlfn.XLOOKUP(Table28[[#This Row],[SKU]],Supplier_Products[[#All],[SKU]],Supplier_Products[[#All],[Supplier]])</f>
        <v>SoundCo</v>
      </c>
    </row>
    <row r="988" spans="1:8" x14ac:dyDescent="0.3">
      <c r="A988">
        <v>1987</v>
      </c>
      <c r="B988">
        <v>697</v>
      </c>
      <c r="C988" t="s">
        <v>6</v>
      </c>
      <c r="D988" s="5">
        <v>45651</v>
      </c>
      <c r="E988" t="s">
        <v>12</v>
      </c>
      <c r="F988">
        <v>4</v>
      </c>
      <c r="G988" t="str">
        <f>VLOOKUP(Table28[[#This Row],[SKU]],Supplier_Products[[#All],[Supplier]:[SKU]],3,FALSE)</f>
        <v>TechCorp</v>
      </c>
      <c r="H988" t="str" cm="1">
        <f t="array" ref="H988">_xlfn.XLOOKUP(Table28[[#This Row],[SKU]],Supplier_Products[[#All],[SKU]],Supplier_Products[[#All],[Supplier]])</f>
        <v>TechCorp</v>
      </c>
    </row>
    <row r="989" spans="1:8" x14ac:dyDescent="0.3">
      <c r="A989">
        <v>1988</v>
      </c>
      <c r="B989">
        <v>583</v>
      </c>
      <c r="C989" t="s">
        <v>166</v>
      </c>
      <c r="D989" s="5">
        <v>45312</v>
      </c>
      <c r="E989" t="s">
        <v>191</v>
      </c>
      <c r="F989">
        <v>2</v>
      </c>
      <c r="G989" t="str">
        <f>VLOOKUP(Table28[[#This Row],[SKU]],Supplier_Products[[#All],[Supplier]:[SKU]],3,FALSE)</f>
        <v>BookTech</v>
      </c>
      <c r="H989" t="str" cm="1">
        <f t="array" ref="H989">_xlfn.XLOOKUP(Table28[[#This Row],[SKU]],Supplier_Products[[#All],[SKU]],Supplier_Products[[#All],[Supplier]])</f>
        <v>BookTech</v>
      </c>
    </row>
    <row r="990" spans="1:8" x14ac:dyDescent="0.3">
      <c r="A990">
        <v>1989</v>
      </c>
      <c r="B990">
        <v>599</v>
      </c>
      <c r="C990" t="s">
        <v>175</v>
      </c>
      <c r="D990" s="5">
        <v>45337</v>
      </c>
      <c r="E990" t="s">
        <v>186</v>
      </c>
      <c r="F990">
        <v>8</v>
      </c>
      <c r="G990" t="str">
        <f>VLOOKUP(Table28[[#This Row],[SKU]],Supplier_Products[[#All],[Supplier]:[SKU]],3,FALSE)</f>
        <v>DisplayPro</v>
      </c>
      <c r="H990" t="str" cm="1">
        <f t="array" ref="H990">_xlfn.XLOOKUP(Table28[[#This Row],[SKU]],Supplier_Products[[#All],[SKU]],Supplier_Products[[#All],[Supplier]])</f>
        <v>DisplayPro</v>
      </c>
    </row>
    <row r="991" spans="1:8" x14ac:dyDescent="0.3">
      <c r="A991">
        <v>1990</v>
      </c>
      <c r="B991">
        <v>632</v>
      </c>
      <c r="C991" t="s">
        <v>121</v>
      </c>
      <c r="D991" s="5">
        <v>45495</v>
      </c>
      <c r="E991" t="s">
        <v>186</v>
      </c>
      <c r="F991">
        <v>17</v>
      </c>
      <c r="G991" t="str">
        <f>VLOOKUP(Table28[[#This Row],[SKU]],Supplier_Products[[#All],[Supplier]:[SKU]],3,FALSE)</f>
        <v>ClickTech</v>
      </c>
      <c r="H991" t="str" cm="1">
        <f t="array" ref="H991">_xlfn.XLOOKUP(Table28[[#This Row],[SKU]],Supplier_Products[[#All],[SKU]],Supplier_Products[[#All],[Supplier]])</f>
        <v>ClickTech</v>
      </c>
    </row>
    <row r="992" spans="1:8" x14ac:dyDescent="0.3">
      <c r="A992">
        <v>1991</v>
      </c>
      <c r="B992">
        <v>520</v>
      </c>
      <c r="C992" t="s">
        <v>184</v>
      </c>
      <c r="D992" s="5">
        <v>45603</v>
      </c>
      <c r="E992" t="s">
        <v>189</v>
      </c>
      <c r="F992">
        <v>17</v>
      </c>
      <c r="G992" t="str">
        <f>VLOOKUP(Table28[[#This Row],[SKU]],Supplier_Products[[#All],[Supplier]:[SKU]],3,FALSE)</f>
        <v>VisionTech</v>
      </c>
      <c r="H992" t="str" cm="1">
        <f t="array" ref="H992">_xlfn.XLOOKUP(Table28[[#This Row],[SKU]],Supplier_Products[[#All],[SKU]],Supplier_Products[[#All],[Supplier]])</f>
        <v>VisionTech</v>
      </c>
    </row>
    <row r="993" spans="1:8" x14ac:dyDescent="0.3">
      <c r="A993">
        <v>1992</v>
      </c>
      <c r="B993">
        <v>621</v>
      </c>
      <c r="C993" t="s">
        <v>166</v>
      </c>
      <c r="D993" s="5">
        <v>45388</v>
      </c>
      <c r="E993" t="s">
        <v>191</v>
      </c>
      <c r="F993">
        <v>3</v>
      </c>
      <c r="G993" t="str">
        <f>VLOOKUP(Table28[[#This Row],[SKU]],Supplier_Products[[#All],[Supplier]:[SKU]],3,FALSE)</f>
        <v>BookTech</v>
      </c>
      <c r="H993" t="str" cm="1">
        <f t="array" ref="H993">_xlfn.XLOOKUP(Table28[[#This Row],[SKU]],Supplier_Products[[#All],[SKU]],Supplier_Products[[#All],[Supplier]])</f>
        <v>BookTech</v>
      </c>
    </row>
    <row r="994" spans="1:8" x14ac:dyDescent="0.3">
      <c r="A994">
        <v>1993</v>
      </c>
      <c r="B994">
        <v>651</v>
      </c>
      <c r="C994" t="s">
        <v>150</v>
      </c>
      <c r="D994" s="5">
        <v>45652</v>
      </c>
      <c r="E994" t="s">
        <v>187</v>
      </c>
      <c r="F994">
        <v>5</v>
      </c>
      <c r="G994" t="str">
        <f>VLOOKUP(Table28[[#This Row],[SKU]],Supplier_Products[[#All],[Supplier]:[SKU]],3,FALSE)</f>
        <v>ShutterPro</v>
      </c>
      <c r="H994" t="str" cm="1">
        <f t="array" ref="H994">_xlfn.XLOOKUP(Table28[[#This Row],[SKU]],Supplier_Products[[#All],[SKU]],Supplier_Products[[#All],[Supplier]])</f>
        <v>ShutterPro</v>
      </c>
    </row>
    <row r="995" spans="1:8" x14ac:dyDescent="0.3">
      <c r="A995">
        <v>1994</v>
      </c>
      <c r="B995">
        <v>577</v>
      </c>
      <c r="C995" t="s">
        <v>123</v>
      </c>
      <c r="D995" s="5">
        <v>45415</v>
      </c>
      <c r="E995" t="s">
        <v>189</v>
      </c>
      <c r="F995">
        <v>13</v>
      </c>
      <c r="G995" t="str">
        <f>VLOOKUP(Table28[[#This Row],[SKU]],Supplier_Products[[#All],[Supplier]:[SKU]],3,FALSE)</f>
        <v>VRWorld</v>
      </c>
      <c r="H995" t="str" cm="1">
        <f t="array" ref="H995">_xlfn.XLOOKUP(Table28[[#This Row],[SKU]],Supplier_Products[[#All],[SKU]],Supplier_Products[[#All],[Supplier]])</f>
        <v>VRWorld</v>
      </c>
    </row>
    <row r="996" spans="1:8" x14ac:dyDescent="0.3">
      <c r="A996">
        <v>1995</v>
      </c>
      <c r="B996">
        <v>560</v>
      </c>
      <c r="C996" t="s">
        <v>133</v>
      </c>
      <c r="D996" s="5">
        <v>45498</v>
      </c>
      <c r="E996" t="s">
        <v>14</v>
      </c>
      <c r="F996">
        <v>14</v>
      </c>
      <c r="G996" t="str">
        <f>VLOOKUP(Table28[[#This Row],[SKU]],Supplier_Products[[#All],[Supplier]:[SKU]],3,FALSE)</f>
        <v>SafeTech</v>
      </c>
      <c r="H996" t="str" cm="1">
        <f t="array" ref="H996">_xlfn.XLOOKUP(Table28[[#This Row],[SKU]],Supplier_Products[[#All],[SKU]],Supplier_Products[[#All],[Supplier]])</f>
        <v>SafeTech</v>
      </c>
    </row>
    <row r="997" spans="1:8" x14ac:dyDescent="0.3">
      <c r="A997">
        <v>1996</v>
      </c>
      <c r="B997">
        <v>647</v>
      </c>
      <c r="C997" t="s">
        <v>175</v>
      </c>
      <c r="D997" s="5">
        <v>45601</v>
      </c>
      <c r="E997" t="s">
        <v>186</v>
      </c>
      <c r="F997">
        <v>3</v>
      </c>
      <c r="G997" t="str">
        <f>VLOOKUP(Table28[[#This Row],[SKU]],Supplier_Products[[#All],[Supplier]:[SKU]],3,FALSE)</f>
        <v>DisplayPro</v>
      </c>
      <c r="H997" t="str" cm="1">
        <f t="array" ref="H997">_xlfn.XLOOKUP(Table28[[#This Row],[SKU]],Supplier_Products[[#All],[SKU]],Supplier_Products[[#All],[Supplier]])</f>
        <v>DisplayPro</v>
      </c>
    </row>
    <row r="998" spans="1:8" x14ac:dyDescent="0.3">
      <c r="A998">
        <v>1997</v>
      </c>
      <c r="B998">
        <v>627</v>
      </c>
      <c r="C998" t="s">
        <v>169</v>
      </c>
      <c r="D998" s="5">
        <v>45400</v>
      </c>
      <c r="E998" t="s">
        <v>14</v>
      </c>
      <c r="F998">
        <v>16</v>
      </c>
      <c r="G998" t="str">
        <f>VLOOKUP(Table28[[#This Row],[SKU]],Supplier_Products[[#All],[Supplier]:[SKU]],3,FALSE)</f>
        <v>SafeDrive</v>
      </c>
      <c r="H998" t="str" cm="1">
        <f t="array" ref="H998">_xlfn.XLOOKUP(Table28[[#This Row],[SKU]],Supplier_Products[[#All],[SKU]],Supplier_Products[[#All],[Supplier]])</f>
        <v>SafeDrive</v>
      </c>
    </row>
    <row r="999" spans="1:8" x14ac:dyDescent="0.3">
      <c r="A999">
        <v>1998</v>
      </c>
      <c r="B999">
        <v>666</v>
      </c>
      <c r="C999" t="s">
        <v>123</v>
      </c>
      <c r="D999" s="5">
        <v>45366</v>
      </c>
      <c r="E999" t="s">
        <v>189</v>
      </c>
      <c r="F999">
        <v>10</v>
      </c>
      <c r="G999" t="str">
        <f>VLOOKUP(Table28[[#This Row],[SKU]],Supplier_Products[[#All],[Supplier]:[SKU]],3,FALSE)</f>
        <v>VRWorld</v>
      </c>
      <c r="H999" t="str" cm="1">
        <f t="array" ref="H999">_xlfn.XLOOKUP(Table28[[#This Row],[SKU]],Supplier_Products[[#All],[SKU]],Supplier_Products[[#All],[Supplier]])</f>
        <v>VRWorld</v>
      </c>
    </row>
    <row r="1000" spans="1:8" x14ac:dyDescent="0.3">
      <c r="A1000">
        <v>1999</v>
      </c>
      <c r="B1000">
        <v>670</v>
      </c>
      <c r="C1000" t="s">
        <v>123</v>
      </c>
      <c r="D1000" s="5">
        <v>45332</v>
      </c>
      <c r="E1000" t="s">
        <v>189</v>
      </c>
      <c r="F1000">
        <v>12</v>
      </c>
      <c r="G1000" t="str">
        <f>VLOOKUP(Table28[[#This Row],[SKU]],Supplier_Products[[#All],[Supplier]:[SKU]],3,FALSE)</f>
        <v>VRWorld</v>
      </c>
      <c r="H1000" t="str" cm="1">
        <f t="array" ref="H1000">_xlfn.XLOOKUP(Table28[[#This Row],[SKU]],Supplier_Products[[#All],[SKU]],Supplier_Products[[#All],[Supplier]])</f>
        <v>VRWorld</v>
      </c>
    </row>
    <row r="1001" spans="1:8" x14ac:dyDescent="0.3">
      <c r="A1001">
        <v>2000</v>
      </c>
      <c r="B1001">
        <v>713</v>
      </c>
      <c r="C1001" t="s">
        <v>160</v>
      </c>
      <c r="D1001" s="5">
        <v>45339</v>
      </c>
      <c r="E1001" t="s">
        <v>13</v>
      </c>
      <c r="F1001">
        <v>17</v>
      </c>
      <c r="G1001" t="str">
        <f>VLOOKUP(Table28[[#This Row],[SKU]],Supplier_Products[[#All],[Supplier]:[SKU]],3,FALSE)</f>
        <v>SoundCo</v>
      </c>
      <c r="H1001" t="str" cm="1">
        <f t="array" ref="H1001">_xlfn.XLOOKUP(Table28[[#This Row],[SKU]],Supplier_Products[[#All],[SKU]],Supplier_Products[[#All],[Supplier]])</f>
        <v>SoundCo</v>
      </c>
    </row>
  </sheetData>
  <pageMargins left="0.7" right="0.7" top="0.75" bottom="0.75" header="0.3" footer="0.3"/>
  <pageSetup orientation="portrait" r:id="rId2"/>
  <drawing r:id="rId3"/>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979BF-23B9-4A39-B715-ECD595E87526}">
  <dimension ref="A1:H32"/>
  <sheetViews>
    <sheetView zoomScale="130" zoomScaleNormal="130" workbookViewId="0">
      <selection activeCell="G6" sqref="G6"/>
    </sheetView>
  </sheetViews>
  <sheetFormatPr defaultRowHeight="14.4" x14ac:dyDescent="0.3"/>
  <cols>
    <col min="1" max="2" width="9" customWidth="1"/>
    <col min="3" max="3" width="12" customWidth="1"/>
    <col min="4" max="4" width="7" customWidth="1"/>
    <col min="5" max="5" width="24.88671875" style="5" customWidth="1"/>
    <col min="6" max="7" width="14.21875" customWidth="1"/>
    <col min="8" max="8" width="16.21875" bestFit="1" customWidth="1"/>
  </cols>
  <sheetData>
    <row r="1" spans="1:8" x14ac:dyDescent="0.3">
      <c r="A1" s="6" t="s">
        <v>0</v>
      </c>
      <c r="B1" s="6" t="s">
        <v>724</v>
      </c>
      <c r="C1" s="7" t="s">
        <v>1</v>
      </c>
      <c r="D1" s="8" t="s">
        <v>2</v>
      </c>
      <c r="E1" s="9" t="s">
        <v>3</v>
      </c>
      <c r="F1" s="10" t="s">
        <v>725</v>
      </c>
      <c r="G1" s="27" t="s">
        <v>685</v>
      </c>
      <c r="H1" s="12" t="s">
        <v>717</v>
      </c>
    </row>
    <row r="2" spans="1:8" x14ac:dyDescent="0.3">
      <c r="A2">
        <v>1068</v>
      </c>
      <c r="B2">
        <v>2001</v>
      </c>
      <c r="C2">
        <v>717</v>
      </c>
      <c r="D2" t="s">
        <v>11</v>
      </c>
      <c r="E2" s="5" t="s">
        <v>83</v>
      </c>
      <c r="F2">
        <v>13</v>
      </c>
      <c r="H2" t="s">
        <v>25</v>
      </c>
    </row>
    <row r="3" spans="1:8" x14ac:dyDescent="0.3">
      <c r="A3">
        <v>1123</v>
      </c>
      <c r="B3">
        <v>2002</v>
      </c>
      <c r="C3">
        <v>526</v>
      </c>
      <c r="D3" t="s">
        <v>8</v>
      </c>
      <c r="E3" s="5" t="s">
        <v>84</v>
      </c>
      <c r="F3">
        <v>4</v>
      </c>
      <c r="H3" t="s">
        <v>22</v>
      </c>
    </row>
    <row r="4" spans="1:8" x14ac:dyDescent="0.3">
      <c r="A4">
        <v>1058</v>
      </c>
      <c r="B4">
        <v>2003</v>
      </c>
      <c r="C4">
        <v>632</v>
      </c>
      <c r="D4" t="s">
        <v>72</v>
      </c>
      <c r="E4" s="5" t="s">
        <v>85</v>
      </c>
      <c r="F4">
        <v>1</v>
      </c>
      <c r="H4" t="s">
        <v>108</v>
      </c>
    </row>
    <row r="5" spans="1:8" x14ac:dyDescent="0.3">
      <c r="A5">
        <v>1017</v>
      </c>
      <c r="B5">
        <v>2004</v>
      </c>
      <c r="C5">
        <v>647</v>
      </c>
      <c r="D5" t="s">
        <v>6</v>
      </c>
      <c r="E5" s="5" t="s">
        <v>75</v>
      </c>
      <c r="F5">
        <v>19</v>
      </c>
      <c r="H5" t="s">
        <v>20</v>
      </c>
    </row>
    <row r="6" spans="1:8" x14ac:dyDescent="0.3">
      <c r="A6">
        <v>1085</v>
      </c>
      <c r="B6">
        <v>2005</v>
      </c>
      <c r="C6">
        <v>744</v>
      </c>
      <c r="D6" t="s">
        <v>73</v>
      </c>
      <c r="E6" s="5" t="s">
        <v>86</v>
      </c>
      <c r="F6">
        <v>20</v>
      </c>
      <c r="H6" t="s">
        <v>106</v>
      </c>
    </row>
    <row r="7" spans="1:8" x14ac:dyDescent="0.3">
      <c r="A7">
        <v>1063</v>
      </c>
      <c r="B7">
        <v>2006</v>
      </c>
      <c r="C7">
        <v>558</v>
      </c>
      <c r="D7" t="s">
        <v>11</v>
      </c>
      <c r="E7" s="5" t="s">
        <v>87</v>
      </c>
      <c r="F7">
        <v>1</v>
      </c>
      <c r="H7" t="s">
        <v>25</v>
      </c>
    </row>
    <row r="8" spans="1:8" x14ac:dyDescent="0.3">
      <c r="A8">
        <v>1149</v>
      </c>
      <c r="B8">
        <v>2007</v>
      </c>
      <c r="C8">
        <v>610</v>
      </c>
      <c r="D8" t="s">
        <v>6</v>
      </c>
      <c r="E8" s="5" t="s">
        <v>88</v>
      </c>
      <c r="F8">
        <v>14</v>
      </c>
      <c r="H8" t="s">
        <v>20</v>
      </c>
    </row>
    <row r="9" spans="1:8" x14ac:dyDescent="0.3">
      <c r="A9">
        <v>1051</v>
      </c>
      <c r="B9">
        <v>2008</v>
      </c>
      <c r="C9">
        <v>606</v>
      </c>
      <c r="D9" t="s">
        <v>7</v>
      </c>
      <c r="E9" s="5" t="s">
        <v>89</v>
      </c>
      <c r="F9">
        <v>10</v>
      </c>
      <c r="H9" t="s">
        <v>21</v>
      </c>
    </row>
    <row r="10" spans="1:8" x14ac:dyDescent="0.3">
      <c r="A10">
        <v>1052</v>
      </c>
      <c r="B10">
        <v>2009</v>
      </c>
      <c r="C10">
        <v>563</v>
      </c>
      <c r="D10" t="s">
        <v>8</v>
      </c>
      <c r="E10" s="5" t="s">
        <v>82</v>
      </c>
      <c r="F10">
        <v>1</v>
      </c>
      <c r="H10" t="s">
        <v>22</v>
      </c>
    </row>
    <row r="11" spans="1:8" x14ac:dyDescent="0.3">
      <c r="A11">
        <v>1036</v>
      </c>
      <c r="B11">
        <v>2010</v>
      </c>
      <c r="C11">
        <v>638</v>
      </c>
      <c r="D11" t="s">
        <v>73</v>
      </c>
      <c r="E11" s="5" t="s">
        <v>90</v>
      </c>
      <c r="F11">
        <v>14</v>
      </c>
      <c r="H11" t="s">
        <v>106</v>
      </c>
    </row>
    <row r="12" spans="1:8" x14ac:dyDescent="0.3">
      <c r="A12">
        <v>1033</v>
      </c>
      <c r="B12">
        <v>2011</v>
      </c>
      <c r="C12">
        <v>700</v>
      </c>
      <c r="D12" t="s">
        <v>6</v>
      </c>
      <c r="E12" s="5" t="s">
        <v>74</v>
      </c>
      <c r="F12">
        <v>12</v>
      </c>
      <c r="H12" t="s">
        <v>20</v>
      </c>
    </row>
    <row r="13" spans="1:8" x14ac:dyDescent="0.3">
      <c r="A13">
        <v>1001</v>
      </c>
      <c r="B13">
        <v>2012</v>
      </c>
      <c r="C13">
        <v>612</v>
      </c>
      <c r="D13" t="s">
        <v>72</v>
      </c>
      <c r="E13" s="5" t="s">
        <v>77</v>
      </c>
      <c r="F13">
        <v>14</v>
      </c>
      <c r="H13" t="s">
        <v>108</v>
      </c>
    </row>
    <row r="14" spans="1:8" x14ac:dyDescent="0.3">
      <c r="A14">
        <v>1029</v>
      </c>
      <c r="B14">
        <v>2013</v>
      </c>
      <c r="C14">
        <v>577</v>
      </c>
      <c r="D14" t="s">
        <v>73</v>
      </c>
      <c r="E14" s="5" t="s">
        <v>91</v>
      </c>
      <c r="F14">
        <v>14</v>
      </c>
      <c r="H14" t="s">
        <v>106</v>
      </c>
    </row>
    <row r="15" spans="1:8" x14ac:dyDescent="0.3">
      <c r="A15">
        <v>1132</v>
      </c>
      <c r="B15">
        <v>2014</v>
      </c>
      <c r="C15">
        <v>571</v>
      </c>
      <c r="D15" t="s">
        <v>11</v>
      </c>
      <c r="E15" s="5" t="s">
        <v>92</v>
      </c>
      <c r="F15">
        <v>16</v>
      </c>
      <c r="H15" t="s">
        <v>25</v>
      </c>
    </row>
    <row r="16" spans="1:8" x14ac:dyDescent="0.3">
      <c r="A16">
        <v>1061</v>
      </c>
      <c r="B16">
        <v>2015</v>
      </c>
      <c r="C16">
        <v>599</v>
      </c>
      <c r="D16" t="s">
        <v>6</v>
      </c>
      <c r="E16" s="5" t="s">
        <v>80</v>
      </c>
      <c r="F16">
        <v>4</v>
      </c>
      <c r="H16" t="s">
        <v>20</v>
      </c>
    </row>
    <row r="17" spans="1:8" x14ac:dyDescent="0.3">
      <c r="A17">
        <v>1117</v>
      </c>
      <c r="B17">
        <v>2016</v>
      </c>
      <c r="C17">
        <v>676</v>
      </c>
      <c r="D17" t="s">
        <v>7</v>
      </c>
      <c r="E17" s="5" t="s">
        <v>78</v>
      </c>
      <c r="F17">
        <v>12</v>
      </c>
      <c r="H17" t="s">
        <v>21</v>
      </c>
    </row>
    <row r="18" spans="1:8" x14ac:dyDescent="0.3">
      <c r="A18">
        <v>1090</v>
      </c>
      <c r="B18">
        <v>2017</v>
      </c>
      <c r="C18">
        <v>535</v>
      </c>
      <c r="D18" t="s">
        <v>72</v>
      </c>
      <c r="E18" s="5" t="s">
        <v>93</v>
      </c>
      <c r="F18">
        <v>12</v>
      </c>
      <c r="H18" t="s">
        <v>108</v>
      </c>
    </row>
    <row r="19" spans="1:8" x14ac:dyDescent="0.3">
      <c r="A19">
        <v>1143</v>
      </c>
      <c r="B19">
        <v>2018</v>
      </c>
      <c r="C19">
        <v>706</v>
      </c>
      <c r="D19" t="s">
        <v>73</v>
      </c>
      <c r="E19" s="5" t="s">
        <v>94</v>
      </c>
      <c r="F19">
        <v>15</v>
      </c>
      <c r="H19" t="s">
        <v>106</v>
      </c>
    </row>
    <row r="20" spans="1:8" x14ac:dyDescent="0.3">
      <c r="A20">
        <v>1140</v>
      </c>
      <c r="B20">
        <v>2019</v>
      </c>
      <c r="C20">
        <v>623</v>
      </c>
      <c r="D20" t="s">
        <v>10</v>
      </c>
      <c r="E20" s="5" t="s">
        <v>81</v>
      </c>
      <c r="F20">
        <v>12</v>
      </c>
      <c r="H20" t="s">
        <v>24</v>
      </c>
    </row>
    <row r="21" spans="1:8" x14ac:dyDescent="0.3">
      <c r="A21">
        <v>1026</v>
      </c>
      <c r="B21">
        <v>2020</v>
      </c>
      <c r="C21">
        <v>549</v>
      </c>
      <c r="D21" t="s">
        <v>72</v>
      </c>
      <c r="E21" s="5" t="s">
        <v>95</v>
      </c>
      <c r="F21">
        <v>6</v>
      </c>
      <c r="H21" t="s">
        <v>108</v>
      </c>
    </row>
    <row r="22" spans="1:8" x14ac:dyDescent="0.3">
      <c r="A22">
        <v>1090</v>
      </c>
      <c r="B22">
        <v>2021</v>
      </c>
      <c r="C22">
        <v>535</v>
      </c>
      <c r="D22" t="s">
        <v>72</v>
      </c>
      <c r="E22" s="5" t="s">
        <v>93</v>
      </c>
      <c r="F22">
        <v>12</v>
      </c>
      <c r="H22" t="s">
        <v>108</v>
      </c>
    </row>
    <row r="23" spans="1:8" x14ac:dyDescent="0.3">
      <c r="A23">
        <v>1107</v>
      </c>
      <c r="B23">
        <v>2022</v>
      </c>
      <c r="C23">
        <v>655</v>
      </c>
      <c r="D23" t="s">
        <v>73</v>
      </c>
      <c r="E23" s="5" t="s">
        <v>96</v>
      </c>
      <c r="F23">
        <v>5</v>
      </c>
      <c r="H23" t="s">
        <v>106</v>
      </c>
    </row>
    <row r="24" spans="1:8" x14ac:dyDescent="0.3">
      <c r="A24">
        <v>1016</v>
      </c>
      <c r="B24">
        <v>2023</v>
      </c>
      <c r="C24">
        <v>667</v>
      </c>
      <c r="D24" t="s">
        <v>72</v>
      </c>
      <c r="E24" s="5" t="s">
        <v>97</v>
      </c>
      <c r="F24">
        <v>15</v>
      </c>
      <c r="H24" t="s">
        <v>108</v>
      </c>
    </row>
    <row r="25" spans="1:8" x14ac:dyDescent="0.3">
      <c r="A25">
        <v>1104</v>
      </c>
      <c r="B25">
        <v>2024</v>
      </c>
      <c r="C25">
        <v>596</v>
      </c>
      <c r="D25" t="s">
        <v>73</v>
      </c>
      <c r="E25" s="5" t="s">
        <v>98</v>
      </c>
      <c r="F25">
        <v>9</v>
      </c>
      <c r="H25" t="s">
        <v>106</v>
      </c>
    </row>
    <row r="26" spans="1:8" x14ac:dyDescent="0.3">
      <c r="A26">
        <v>1061</v>
      </c>
      <c r="B26">
        <v>2025</v>
      </c>
      <c r="C26">
        <v>599</v>
      </c>
      <c r="D26" t="s">
        <v>6</v>
      </c>
      <c r="E26" s="5" t="s">
        <v>99</v>
      </c>
      <c r="F26">
        <v>4</v>
      </c>
      <c r="H26" t="s">
        <v>20</v>
      </c>
    </row>
    <row r="27" spans="1:8" x14ac:dyDescent="0.3">
      <c r="A27">
        <v>1050</v>
      </c>
      <c r="B27">
        <v>2026</v>
      </c>
      <c r="C27">
        <v>530</v>
      </c>
      <c r="D27" t="s">
        <v>10</v>
      </c>
      <c r="E27" s="5" t="s">
        <v>100</v>
      </c>
      <c r="F27">
        <v>18</v>
      </c>
      <c r="H27" t="s">
        <v>24</v>
      </c>
    </row>
    <row r="28" spans="1:8" x14ac:dyDescent="0.3">
      <c r="A28">
        <v>1009</v>
      </c>
      <c r="B28">
        <v>2027</v>
      </c>
      <c r="C28">
        <v>506</v>
      </c>
      <c r="D28" t="s">
        <v>10</v>
      </c>
      <c r="E28" s="5" t="s">
        <v>76</v>
      </c>
      <c r="F28">
        <v>6</v>
      </c>
      <c r="H28" t="s">
        <v>24</v>
      </c>
    </row>
    <row r="29" spans="1:8" x14ac:dyDescent="0.3">
      <c r="A29">
        <v>1038</v>
      </c>
      <c r="B29">
        <v>2028</v>
      </c>
      <c r="C29">
        <v>638</v>
      </c>
      <c r="D29" t="s">
        <v>6</v>
      </c>
      <c r="E29" s="5" t="s">
        <v>101</v>
      </c>
      <c r="F29">
        <v>6</v>
      </c>
      <c r="H29" t="s">
        <v>20</v>
      </c>
    </row>
    <row r="30" spans="1:8" x14ac:dyDescent="0.3">
      <c r="A30">
        <v>1141</v>
      </c>
      <c r="B30">
        <v>2029</v>
      </c>
      <c r="C30">
        <v>687</v>
      </c>
      <c r="D30" t="s">
        <v>7</v>
      </c>
      <c r="E30" s="5" t="s">
        <v>102</v>
      </c>
      <c r="F30">
        <v>13</v>
      </c>
      <c r="H30" t="s">
        <v>21</v>
      </c>
    </row>
    <row r="31" spans="1:8" x14ac:dyDescent="0.3">
      <c r="A31">
        <v>1027</v>
      </c>
      <c r="B31">
        <v>2030</v>
      </c>
      <c r="C31">
        <v>544</v>
      </c>
      <c r="D31" t="s">
        <v>9</v>
      </c>
      <c r="E31" s="5" t="s">
        <v>103</v>
      </c>
      <c r="F31">
        <v>16</v>
      </c>
      <c r="H31" t="s">
        <v>23</v>
      </c>
    </row>
    <row r="32" spans="1:8" x14ac:dyDescent="0.3">
      <c r="A32">
        <v>1030</v>
      </c>
      <c r="B32">
        <v>2031</v>
      </c>
      <c r="C32">
        <v>615</v>
      </c>
      <c r="D32" t="s">
        <v>11</v>
      </c>
      <c r="E32" s="5" t="s">
        <v>79</v>
      </c>
      <c r="F32">
        <v>20</v>
      </c>
      <c r="H32" t="s">
        <v>25</v>
      </c>
    </row>
  </sheetData>
  <phoneticPr fontId="2" type="noConversion"/>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5"/>
  <sheetViews>
    <sheetView zoomScale="130" zoomScaleNormal="130" workbookViewId="0">
      <selection activeCell="G4" sqref="G4"/>
    </sheetView>
  </sheetViews>
  <sheetFormatPr defaultRowHeight="14.4" x14ac:dyDescent="0.3"/>
  <cols>
    <col min="1" max="1" width="10" customWidth="1"/>
    <col min="2" max="2" width="14.109375" customWidth="1"/>
    <col min="3" max="3" width="12.6640625" customWidth="1"/>
    <col min="4" max="4" width="15.21875" customWidth="1"/>
    <col min="5" max="5" width="13.88671875" bestFit="1" customWidth="1"/>
    <col min="6" max="6" width="14.88671875" customWidth="1"/>
  </cols>
  <sheetData>
    <row r="1" spans="1:8" x14ac:dyDescent="0.3">
      <c r="A1" s="8" t="s">
        <v>2</v>
      </c>
      <c r="B1" s="10" t="s">
        <v>16</v>
      </c>
      <c r="C1" s="10" t="s">
        <v>104</v>
      </c>
      <c r="D1" s="11" t="s">
        <v>35</v>
      </c>
      <c r="E1" s="10" t="s">
        <v>18</v>
      </c>
      <c r="F1" s="10" t="s">
        <v>19</v>
      </c>
      <c r="H1" s="4"/>
    </row>
    <row r="2" spans="1:8" x14ac:dyDescent="0.3">
      <c r="A2" t="s">
        <v>6</v>
      </c>
      <c r="B2" t="s">
        <v>20</v>
      </c>
      <c r="C2" t="s">
        <v>40</v>
      </c>
      <c r="D2">
        <v>1</v>
      </c>
      <c r="E2" t="s">
        <v>32</v>
      </c>
      <c r="F2">
        <v>50</v>
      </c>
    </row>
    <row r="3" spans="1:8" x14ac:dyDescent="0.3">
      <c r="A3" t="s">
        <v>7</v>
      </c>
      <c r="B3" t="s">
        <v>21</v>
      </c>
      <c r="C3" t="s">
        <v>41</v>
      </c>
      <c r="D3">
        <v>2</v>
      </c>
      <c r="E3" t="s">
        <v>33</v>
      </c>
      <c r="F3">
        <v>100</v>
      </c>
    </row>
    <row r="4" spans="1:8" x14ac:dyDescent="0.3">
      <c r="A4" t="s">
        <v>8</v>
      </c>
      <c r="B4" t="s">
        <v>22</v>
      </c>
      <c r="C4" t="s">
        <v>42</v>
      </c>
      <c r="D4">
        <v>3</v>
      </c>
      <c r="E4" t="s">
        <v>32</v>
      </c>
      <c r="F4">
        <v>75</v>
      </c>
    </row>
    <row r="5" spans="1:8" x14ac:dyDescent="0.3">
      <c r="A5" t="s">
        <v>9</v>
      </c>
      <c r="B5" t="s">
        <v>23</v>
      </c>
      <c r="C5" t="s">
        <v>43</v>
      </c>
      <c r="D5">
        <v>4</v>
      </c>
      <c r="E5" t="s">
        <v>34</v>
      </c>
      <c r="F5">
        <v>30</v>
      </c>
    </row>
    <row r="6" spans="1:8" x14ac:dyDescent="0.3">
      <c r="A6" t="s">
        <v>10</v>
      </c>
      <c r="B6" t="s">
        <v>24</v>
      </c>
      <c r="C6" t="s">
        <v>44</v>
      </c>
      <c r="D6">
        <v>5</v>
      </c>
      <c r="E6" t="s">
        <v>33</v>
      </c>
      <c r="F6">
        <v>90</v>
      </c>
    </row>
    <row r="7" spans="1:8" x14ac:dyDescent="0.3">
      <c r="A7" t="s">
        <v>11</v>
      </c>
      <c r="B7" t="s">
        <v>25</v>
      </c>
      <c r="C7" t="s">
        <v>105</v>
      </c>
      <c r="D7">
        <v>6</v>
      </c>
      <c r="E7" t="s">
        <v>34</v>
      </c>
      <c r="F7">
        <v>120</v>
      </c>
    </row>
    <row r="8" spans="1:8" x14ac:dyDescent="0.3">
      <c r="A8" t="s">
        <v>73</v>
      </c>
      <c r="B8" t="s">
        <v>106</v>
      </c>
      <c r="C8" t="s">
        <v>105</v>
      </c>
      <c r="D8">
        <v>7</v>
      </c>
      <c r="E8" t="s">
        <v>32</v>
      </c>
      <c r="F8">
        <v>200</v>
      </c>
    </row>
    <row r="9" spans="1:8" x14ac:dyDescent="0.3">
      <c r="A9" t="s">
        <v>72</v>
      </c>
      <c r="B9" t="s">
        <v>108</v>
      </c>
      <c r="C9" t="s">
        <v>41</v>
      </c>
      <c r="D9">
        <v>8</v>
      </c>
      <c r="E9" t="s">
        <v>33</v>
      </c>
      <c r="F9">
        <v>85</v>
      </c>
    </row>
    <row r="10" spans="1:8" x14ac:dyDescent="0.3">
      <c r="A10" t="s">
        <v>110</v>
      </c>
      <c r="B10" t="s">
        <v>111</v>
      </c>
      <c r="C10" t="s">
        <v>112</v>
      </c>
      <c r="D10">
        <v>9</v>
      </c>
      <c r="E10" t="s">
        <v>34</v>
      </c>
      <c r="F10">
        <v>40</v>
      </c>
    </row>
    <row r="11" spans="1:8" x14ac:dyDescent="0.3">
      <c r="A11" t="s">
        <v>114</v>
      </c>
      <c r="B11" t="s">
        <v>115</v>
      </c>
      <c r="C11" t="s">
        <v>40</v>
      </c>
      <c r="D11">
        <v>10</v>
      </c>
      <c r="E11" t="s">
        <v>32</v>
      </c>
      <c r="F11">
        <v>25</v>
      </c>
    </row>
    <row r="12" spans="1:8" x14ac:dyDescent="0.3">
      <c r="A12" t="s">
        <v>117</v>
      </c>
      <c r="B12" t="s">
        <v>118</v>
      </c>
      <c r="C12" t="s">
        <v>119</v>
      </c>
      <c r="D12">
        <v>11</v>
      </c>
      <c r="E12" t="s">
        <v>33</v>
      </c>
      <c r="F12">
        <v>150</v>
      </c>
    </row>
    <row r="13" spans="1:8" x14ac:dyDescent="0.3">
      <c r="A13" t="s">
        <v>121</v>
      </c>
      <c r="B13" t="s">
        <v>122</v>
      </c>
      <c r="C13" t="s">
        <v>105</v>
      </c>
      <c r="D13">
        <v>7</v>
      </c>
      <c r="E13" t="s">
        <v>34</v>
      </c>
      <c r="F13">
        <v>95</v>
      </c>
    </row>
    <row r="14" spans="1:8" x14ac:dyDescent="0.3">
      <c r="A14" t="s">
        <v>123</v>
      </c>
      <c r="B14" t="s">
        <v>124</v>
      </c>
      <c r="C14" t="s">
        <v>112</v>
      </c>
      <c r="D14">
        <v>12</v>
      </c>
      <c r="E14" t="s">
        <v>32</v>
      </c>
      <c r="F14">
        <v>60</v>
      </c>
    </row>
    <row r="15" spans="1:8" x14ac:dyDescent="0.3">
      <c r="A15" t="s">
        <v>126</v>
      </c>
      <c r="B15" t="s">
        <v>127</v>
      </c>
      <c r="C15" t="s">
        <v>42</v>
      </c>
      <c r="D15">
        <v>13</v>
      </c>
      <c r="E15" t="s">
        <v>33</v>
      </c>
      <c r="F15">
        <v>110</v>
      </c>
    </row>
    <row r="16" spans="1:8" x14ac:dyDescent="0.3">
      <c r="A16" t="s">
        <v>129</v>
      </c>
      <c r="B16" t="s">
        <v>130</v>
      </c>
      <c r="C16" t="s">
        <v>131</v>
      </c>
      <c r="D16">
        <v>14</v>
      </c>
      <c r="E16" t="s">
        <v>34</v>
      </c>
      <c r="F16">
        <v>75</v>
      </c>
    </row>
    <row r="17" spans="1:6" x14ac:dyDescent="0.3">
      <c r="A17" t="s">
        <v>133</v>
      </c>
      <c r="B17" t="s">
        <v>134</v>
      </c>
      <c r="C17" t="s">
        <v>135</v>
      </c>
      <c r="D17">
        <v>15</v>
      </c>
      <c r="E17" t="s">
        <v>32</v>
      </c>
      <c r="F17">
        <v>130</v>
      </c>
    </row>
    <row r="18" spans="1:6" x14ac:dyDescent="0.3">
      <c r="A18" t="s">
        <v>137</v>
      </c>
      <c r="B18" t="s">
        <v>138</v>
      </c>
      <c r="C18" t="s">
        <v>135</v>
      </c>
      <c r="D18">
        <v>16</v>
      </c>
      <c r="E18" t="s">
        <v>33</v>
      </c>
      <c r="F18">
        <v>45</v>
      </c>
    </row>
    <row r="19" spans="1:6" x14ac:dyDescent="0.3">
      <c r="A19" t="s">
        <v>140</v>
      </c>
      <c r="B19" t="s">
        <v>141</v>
      </c>
      <c r="C19" t="s">
        <v>41</v>
      </c>
      <c r="D19">
        <v>8</v>
      </c>
      <c r="E19" t="s">
        <v>34</v>
      </c>
      <c r="F19">
        <v>80</v>
      </c>
    </row>
    <row r="20" spans="1:6" x14ac:dyDescent="0.3">
      <c r="A20" t="s">
        <v>142</v>
      </c>
      <c r="B20" t="s">
        <v>143</v>
      </c>
      <c r="C20" t="s">
        <v>43</v>
      </c>
      <c r="D20">
        <v>17</v>
      </c>
      <c r="E20" t="s">
        <v>32</v>
      </c>
      <c r="F20">
        <v>35</v>
      </c>
    </row>
    <row r="21" spans="1:6" x14ac:dyDescent="0.3">
      <c r="A21" t="s">
        <v>145</v>
      </c>
      <c r="B21" t="s">
        <v>146</v>
      </c>
      <c r="C21" t="s">
        <v>135</v>
      </c>
      <c r="D21">
        <v>18</v>
      </c>
      <c r="E21" t="s">
        <v>33</v>
      </c>
      <c r="F21">
        <v>90</v>
      </c>
    </row>
    <row r="22" spans="1:6" x14ac:dyDescent="0.3">
      <c r="A22" t="s">
        <v>148</v>
      </c>
      <c r="B22" t="s">
        <v>149</v>
      </c>
      <c r="C22" t="s">
        <v>105</v>
      </c>
      <c r="D22">
        <v>6</v>
      </c>
      <c r="E22" t="s">
        <v>34</v>
      </c>
      <c r="F22">
        <v>150</v>
      </c>
    </row>
    <row r="23" spans="1:6" x14ac:dyDescent="0.3">
      <c r="A23" t="s">
        <v>150</v>
      </c>
      <c r="B23" t="s">
        <v>151</v>
      </c>
      <c r="C23" t="s">
        <v>152</v>
      </c>
      <c r="D23">
        <v>19</v>
      </c>
      <c r="E23" t="s">
        <v>32</v>
      </c>
      <c r="F23">
        <v>20</v>
      </c>
    </row>
    <row r="24" spans="1:6" x14ac:dyDescent="0.3">
      <c r="A24" t="s">
        <v>154</v>
      </c>
      <c r="B24" t="s">
        <v>155</v>
      </c>
      <c r="C24" t="s">
        <v>152</v>
      </c>
      <c r="D24">
        <v>19</v>
      </c>
      <c r="E24" t="s">
        <v>33</v>
      </c>
      <c r="F24">
        <v>55</v>
      </c>
    </row>
    <row r="25" spans="1:6" x14ac:dyDescent="0.3">
      <c r="A25" t="s">
        <v>156</v>
      </c>
      <c r="B25" t="s">
        <v>157</v>
      </c>
      <c r="C25" t="s">
        <v>112</v>
      </c>
      <c r="D25">
        <v>7</v>
      </c>
      <c r="E25" t="s">
        <v>34</v>
      </c>
      <c r="F25">
        <v>75</v>
      </c>
    </row>
    <row r="26" spans="1:6" x14ac:dyDescent="0.3">
      <c r="A26" t="s">
        <v>158</v>
      </c>
      <c r="B26" t="s">
        <v>159</v>
      </c>
      <c r="C26" t="s">
        <v>112</v>
      </c>
      <c r="D26">
        <v>7</v>
      </c>
      <c r="E26" t="s">
        <v>32</v>
      </c>
      <c r="F26">
        <v>85</v>
      </c>
    </row>
    <row r="27" spans="1:6" x14ac:dyDescent="0.3">
      <c r="A27" t="s">
        <v>160</v>
      </c>
      <c r="B27" t="s">
        <v>161</v>
      </c>
      <c r="C27" t="s">
        <v>41</v>
      </c>
      <c r="D27">
        <v>2</v>
      </c>
      <c r="E27" t="s">
        <v>33</v>
      </c>
      <c r="F27">
        <v>60</v>
      </c>
    </row>
    <row r="28" spans="1:6" x14ac:dyDescent="0.3">
      <c r="A28" t="s">
        <v>162</v>
      </c>
      <c r="B28" t="s">
        <v>163</v>
      </c>
      <c r="C28" t="s">
        <v>164</v>
      </c>
      <c r="D28">
        <v>20</v>
      </c>
      <c r="E28" t="s">
        <v>34</v>
      </c>
      <c r="F28">
        <v>25</v>
      </c>
    </row>
    <row r="29" spans="1:6" x14ac:dyDescent="0.3">
      <c r="A29" t="s">
        <v>166</v>
      </c>
      <c r="B29" t="s">
        <v>167</v>
      </c>
      <c r="C29" t="s">
        <v>40</v>
      </c>
      <c r="D29">
        <v>21</v>
      </c>
      <c r="E29" t="s">
        <v>32</v>
      </c>
      <c r="F29">
        <v>50</v>
      </c>
    </row>
    <row r="30" spans="1:6" x14ac:dyDescent="0.3">
      <c r="A30" t="s">
        <v>169</v>
      </c>
      <c r="B30" t="s">
        <v>170</v>
      </c>
      <c r="C30" t="s">
        <v>171</v>
      </c>
      <c r="D30">
        <v>22</v>
      </c>
      <c r="E30" t="s">
        <v>33</v>
      </c>
      <c r="F30">
        <v>70</v>
      </c>
    </row>
    <row r="31" spans="1:6" x14ac:dyDescent="0.3">
      <c r="A31" t="s">
        <v>173</v>
      </c>
      <c r="B31" t="s">
        <v>174</v>
      </c>
      <c r="C31" t="s">
        <v>135</v>
      </c>
      <c r="D31">
        <v>15</v>
      </c>
      <c r="E31" t="s">
        <v>34</v>
      </c>
      <c r="F31">
        <v>90</v>
      </c>
    </row>
    <row r="32" spans="1:6" x14ac:dyDescent="0.3">
      <c r="A32" t="s">
        <v>175</v>
      </c>
      <c r="B32" t="s">
        <v>176</v>
      </c>
      <c r="C32" t="s">
        <v>105</v>
      </c>
      <c r="D32">
        <v>23</v>
      </c>
      <c r="E32" t="s">
        <v>32</v>
      </c>
      <c r="F32">
        <v>40</v>
      </c>
    </row>
    <row r="33" spans="1:6" x14ac:dyDescent="0.3">
      <c r="A33" t="s">
        <v>178</v>
      </c>
      <c r="B33" t="s">
        <v>179</v>
      </c>
      <c r="C33" t="s">
        <v>105</v>
      </c>
      <c r="D33">
        <v>24</v>
      </c>
      <c r="E33" t="s">
        <v>33</v>
      </c>
      <c r="F33">
        <v>100</v>
      </c>
    </row>
    <row r="34" spans="1:6" x14ac:dyDescent="0.3">
      <c r="A34" t="s">
        <v>181</v>
      </c>
      <c r="B34" t="s">
        <v>182</v>
      </c>
      <c r="C34" t="s">
        <v>164</v>
      </c>
      <c r="D34">
        <v>25</v>
      </c>
      <c r="E34" t="s">
        <v>34</v>
      </c>
      <c r="F34">
        <v>55</v>
      </c>
    </row>
    <row r="35" spans="1:6" x14ac:dyDescent="0.3">
      <c r="A35" t="s">
        <v>184</v>
      </c>
      <c r="B35" t="s">
        <v>185</v>
      </c>
      <c r="C35" t="s">
        <v>131</v>
      </c>
      <c r="D35">
        <v>10</v>
      </c>
      <c r="E35" t="s">
        <v>32</v>
      </c>
      <c r="F35">
        <v>45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6"/>
  <sheetViews>
    <sheetView zoomScale="145" zoomScaleNormal="145" workbookViewId="0">
      <selection activeCell="A4" sqref="A4"/>
    </sheetView>
  </sheetViews>
  <sheetFormatPr defaultRowHeight="14.4" x14ac:dyDescent="0.3"/>
  <cols>
    <col min="1" max="1" width="10.88671875" customWidth="1"/>
    <col min="2" max="2" width="14.109375" customWidth="1"/>
    <col min="3" max="3" width="10.6640625" bestFit="1" customWidth="1"/>
    <col min="4" max="4" width="16" customWidth="1"/>
    <col min="5" max="5" width="14.88671875" customWidth="1"/>
  </cols>
  <sheetData>
    <row r="1" spans="1:5" x14ac:dyDescent="0.3">
      <c r="A1" s="11" t="s">
        <v>35</v>
      </c>
      <c r="B1" s="10" t="s">
        <v>36</v>
      </c>
      <c r="C1" s="10" t="s">
        <v>37</v>
      </c>
      <c r="D1" s="10" t="s">
        <v>38</v>
      </c>
      <c r="E1" s="10" t="s">
        <v>39</v>
      </c>
    </row>
    <row r="2" spans="1:5" x14ac:dyDescent="0.3">
      <c r="A2">
        <v>1</v>
      </c>
      <c r="B2" t="s">
        <v>26</v>
      </c>
      <c r="C2" t="s">
        <v>12</v>
      </c>
      <c r="D2" t="s">
        <v>40</v>
      </c>
      <c r="E2">
        <v>2.5</v>
      </c>
    </row>
    <row r="3" spans="1:5" x14ac:dyDescent="0.3">
      <c r="A3">
        <v>2</v>
      </c>
      <c r="B3" t="s">
        <v>27</v>
      </c>
      <c r="C3" t="s">
        <v>13</v>
      </c>
      <c r="D3" t="s">
        <v>41</v>
      </c>
      <c r="E3">
        <v>3</v>
      </c>
    </row>
    <row r="4" spans="1:5" x14ac:dyDescent="0.3">
      <c r="A4">
        <v>3</v>
      </c>
      <c r="B4" t="s">
        <v>28</v>
      </c>
      <c r="C4" t="s">
        <v>15</v>
      </c>
      <c r="D4" t="s">
        <v>42</v>
      </c>
      <c r="E4">
        <v>1.8</v>
      </c>
    </row>
    <row r="5" spans="1:5" x14ac:dyDescent="0.3">
      <c r="A5">
        <v>4</v>
      </c>
      <c r="B5" t="s">
        <v>29</v>
      </c>
      <c r="C5" t="s">
        <v>14</v>
      </c>
      <c r="D5" t="s">
        <v>43</v>
      </c>
      <c r="E5">
        <v>4.2</v>
      </c>
    </row>
    <row r="6" spans="1:5" x14ac:dyDescent="0.3">
      <c r="A6">
        <v>5</v>
      </c>
      <c r="B6" t="s">
        <v>30</v>
      </c>
      <c r="C6" t="s">
        <v>13</v>
      </c>
      <c r="D6" t="s">
        <v>44</v>
      </c>
      <c r="E6">
        <v>2</v>
      </c>
    </row>
    <row r="7" spans="1:5" x14ac:dyDescent="0.3">
      <c r="A7">
        <v>6</v>
      </c>
      <c r="B7" t="s">
        <v>31</v>
      </c>
      <c r="C7" t="s">
        <v>12</v>
      </c>
      <c r="D7" t="s">
        <v>45</v>
      </c>
      <c r="E7">
        <v>3.5</v>
      </c>
    </row>
    <row r="8" spans="1:5" x14ac:dyDescent="0.3">
      <c r="A8">
        <v>7</v>
      </c>
      <c r="B8" t="s">
        <v>107</v>
      </c>
      <c r="C8" t="s">
        <v>186</v>
      </c>
      <c r="D8" t="s">
        <v>105</v>
      </c>
      <c r="E8">
        <v>2.7</v>
      </c>
    </row>
    <row r="9" spans="1:5" x14ac:dyDescent="0.3">
      <c r="A9">
        <v>8</v>
      </c>
      <c r="B9" t="s">
        <v>109</v>
      </c>
      <c r="C9" t="s">
        <v>187</v>
      </c>
      <c r="D9" t="s">
        <v>41</v>
      </c>
      <c r="E9">
        <v>2.9</v>
      </c>
    </row>
    <row r="10" spans="1:5" x14ac:dyDescent="0.3">
      <c r="A10">
        <v>9</v>
      </c>
      <c r="B10" t="s">
        <v>113</v>
      </c>
      <c r="C10" t="s">
        <v>188</v>
      </c>
      <c r="D10" t="s">
        <v>112</v>
      </c>
      <c r="E10">
        <v>3.8</v>
      </c>
    </row>
    <row r="11" spans="1:5" x14ac:dyDescent="0.3">
      <c r="A11">
        <v>10</v>
      </c>
      <c r="B11" t="s">
        <v>116</v>
      </c>
      <c r="C11" t="s">
        <v>189</v>
      </c>
      <c r="D11" t="s">
        <v>40</v>
      </c>
      <c r="E11">
        <v>1.5</v>
      </c>
    </row>
    <row r="12" spans="1:5" x14ac:dyDescent="0.3">
      <c r="A12">
        <v>11</v>
      </c>
      <c r="B12" t="s">
        <v>120</v>
      </c>
      <c r="C12" t="s">
        <v>190</v>
      </c>
      <c r="D12" t="s">
        <v>119</v>
      </c>
      <c r="E12">
        <v>2.2999999999999998</v>
      </c>
    </row>
    <row r="13" spans="1:5" x14ac:dyDescent="0.3">
      <c r="A13">
        <v>12</v>
      </c>
      <c r="B13" t="s">
        <v>125</v>
      </c>
      <c r="C13" t="s">
        <v>189</v>
      </c>
      <c r="D13" t="s">
        <v>112</v>
      </c>
      <c r="E13">
        <v>3.4</v>
      </c>
    </row>
    <row r="14" spans="1:5" x14ac:dyDescent="0.3">
      <c r="A14">
        <v>13</v>
      </c>
      <c r="B14" t="s">
        <v>128</v>
      </c>
      <c r="C14" t="s">
        <v>191</v>
      </c>
      <c r="D14" t="s">
        <v>42</v>
      </c>
      <c r="E14">
        <v>2.1</v>
      </c>
    </row>
    <row r="15" spans="1:5" x14ac:dyDescent="0.3">
      <c r="A15">
        <v>14</v>
      </c>
      <c r="B15" t="s">
        <v>132</v>
      </c>
      <c r="C15" t="s">
        <v>12</v>
      </c>
      <c r="D15" t="s">
        <v>131</v>
      </c>
      <c r="E15">
        <v>3</v>
      </c>
    </row>
    <row r="16" spans="1:5" x14ac:dyDescent="0.3">
      <c r="A16">
        <v>15</v>
      </c>
      <c r="B16" t="s">
        <v>136</v>
      </c>
      <c r="C16" t="s">
        <v>14</v>
      </c>
      <c r="D16" t="s">
        <v>135</v>
      </c>
      <c r="E16">
        <v>2.8</v>
      </c>
    </row>
    <row r="17" spans="1:5" x14ac:dyDescent="0.3">
      <c r="A17">
        <v>16</v>
      </c>
      <c r="B17" t="s">
        <v>139</v>
      </c>
      <c r="C17" t="s">
        <v>188</v>
      </c>
      <c r="D17" t="s">
        <v>135</v>
      </c>
      <c r="E17">
        <v>3.7</v>
      </c>
    </row>
    <row r="18" spans="1:5" x14ac:dyDescent="0.3">
      <c r="A18">
        <v>17</v>
      </c>
      <c r="B18" t="s">
        <v>144</v>
      </c>
      <c r="C18" t="s">
        <v>186</v>
      </c>
      <c r="D18" t="s">
        <v>43</v>
      </c>
      <c r="E18">
        <v>4.5</v>
      </c>
    </row>
    <row r="19" spans="1:5" x14ac:dyDescent="0.3">
      <c r="A19">
        <v>18</v>
      </c>
      <c r="B19" t="s">
        <v>147</v>
      </c>
      <c r="C19" t="s">
        <v>190</v>
      </c>
      <c r="D19" t="s">
        <v>135</v>
      </c>
      <c r="E19">
        <v>2.6</v>
      </c>
    </row>
    <row r="20" spans="1:5" x14ac:dyDescent="0.3">
      <c r="A20">
        <v>19</v>
      </c>
      <c r="B20" t="s">
        <v>153</v>
      </c>
      <c r="C20" t="s">
        <v>187</v>
      </c>
      <c r="D20" t="s">
        <v>152</v>
      </c>
      <c r="E20">
        <v>2.9</v>
      </c>
    </row>
    <row r="21" spans="1:5" x14ac:dyDescent="0.3">
      <c r="A21">
        <v>20</v>
      </c>
      <c r="B21" t="s">
        <v>165</v>
      </c>
      <c r="C21" t="s">
        <v>189</v>
      </c>
      <c r="D21" t="s">
        <v>164</v>
      </c>
      <c r="E21">
        <v>3.3</v>
      </c>
    </row>
    <row r="22" spans="1:5" x14ac:dyDescent="0.3">
      <c r="A22">
        <v>21</v>
      </c>
      <c r="B22" t="s">
        <v>168</v>
      </c>
      <c r="C22" t="s">
        <v>191</v>
      </c>
      <c r="D22" t="s">
        <v>40</v>
      </c>
      <c r="E22">
        <v>1.9</v>
      </c>
    </row>
    <row r="23" spans="1:5" x14ac:dyDescent="0.3">
      <c r="A23">
        <v>22</v>
      </c>
      <c r="B23" t="s">
        <v>172</v>
      </c>
      <c r="C23" t="s">
        <v>14</v>
      </c>
      <c r="D23" t="s">
        <v>171</v>
      </c>
      <c r="E23">
        <v>3.2</v>
      </c>
    </row>
    <row r="24" spans="1:5" x14ac:dyDescent="0.3">
      <c r="A24">
        <v>23</v>
      </c>
      <c r="B24" t="s">
        <v>177</v>
      </c>
      <c r="C24" t="s">
        <v>186</v>
      </c>
      <c r="D24" t="s">
        <v>105</v>
      </c>
      <c r="E24">
        <v>2.4</v>
      </c>
    </row>
    <row r="25" spans="1:5" x14ac:dyDescent="0.3">
      <c r="A25">
        <v>24</v>
      </c>
      <c r="B25" t="s">
        <v>180</v>
      </c>
      <c r="C25" t="s">
        <v>13</v>
      </c>
      <c r="D25" t="s">
        <v>105</v>
      </c>
      <c r="E25">
        <v>3.1</v>
      </c>
    </row>
    <row r="26" spans="1:5" x14ac:dyDescent="0.3">
      <c r="A26">
        <v>25</v>
      </c>
      <c r="B26" t="s">
        <v>183</v>
      </c>
      <c r="C26" t="s">
        <v>12</v>
      </c>
      <c r="D26" t="s">
        <v>164</v>
      </c>
      <c r="E26">
        <v>2.5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20D2E-0235-4BA2-A0C1-66332FBA9254}">
  <dimension ref="A1:C35"/>
  <sheetViews>
    <sheetView topLeftCell="A18" zoomScale="145" zoomScaleNormal="145" workbookViewId="0">
      <selection activeCell="B1" sqref="B1:B1048576"/>
    </sheetView>
  </sheetViews>
  <sheetFormatPr defaultRowHeight="14.4" x14ac:dyDescent="0.3"/>
  <cols>
    <col min="1" max="1" width="12.88671875" bestFit="1" customWidth="1"/>
    <col min="2" max="2" width="25.6640625" bestFit="1" customWidth="1"/>
    <col min="3" max="3" width="6.77734375" bestFit="1" customWidth="1"/>
  </cols>
  <sheetData>
    <row r="1" spans="1:3" x14ac:dyDescent="0.3">
      <c r="A1" t="s">
        <v>104</v>
      </c>
      <c r="B1" t="s">
        <v>16</v>
      </c>
      <c r="C1" t="s">
        <v>2</v>
      </c>
    </row>
    <row r="2" spans="1:3" x14ac:dyDescent="0.3">
      <c r="A2" t="s">
        <v>40</v>
      </c>
      <c r="B2" t="s">
        <v>20</v>
      </c>
      <c r="C2" t="s">
        <v>6</v>
      </c>
    </row>
    <row r="3" spans="1:3" x14ac:dyDescent="0.3">
      <c r="A3" t="s">
        <v>41</v>
      </c>
      <c r="B3" t="s">
        <v>21</v>
      </c>
      <c r="C3" t="s">
        <v>7</v>
      </c>
    </row>
    <row r="4" spans="1:3" x14ac:dyDescent="0.3">
      <c r="A4" t="s">
        <v>41</v>
      </c>
      <c r="B4" t="s">
        <v>161</v>
      </c>
      <c r="C4" t="s">
        <v>160</v>
      </c>
    </row>
    <row r="5" spans="1:3" x14ac:dyDescent="0.3">
      <c r="A5" t="s">
        <v>42</v>
      </c>
      <c r="B5" t="s">
        <v>22</v>
      </c>
      <c r="C5" t="s">
        <v>8</v>
      </c>
    </row>
    <row r="6" spans="1:3" x14ac:dyDescent="0.3">
      <c r="A6" t="s">
        <v>43</v>
      </c>
      <c r="B6" t="s">
        <v>23</v>
      </c>
      <c r="C6" t="s">
        <v>9</v>
      </c>
    </row>
    <row r="7" spans="1:3" x14ac:dyDescent="0.3">
      <c r="A7" t="s">
        <v>44</v>
      </c>
      <c r="B7" t="s">
        <v>24</v>
      </c>
      <c r="C7" t="s">
        <v>10</v>
      </c>
    </row>
    <row r="8" spans="1:3" x14ac:dyDescent="0.3">
      <c r="A8" t="s">
        <v>105</v>
      </c>
      <c r="B8" t="s">
        <v>25</v>
      </c>
      <c r="C8" t="s">
        <v>11</v>
      </c>
    </row>
    <row r="9" spans="1:3" x14ac:dyDescent="0.3">
      <c r="A9" t="s">
        <v>105</v>
      </c>
      <c r="B9" t="s">
        <v>149</v>
      </c>
      <c r="C9" t="s">
        <v>148</v>
      </c>
    </row>
    <row r="10" spans="1:3" x14ac:dyDescent="0.3">
      <c r="A10" t="s">
        <v>105</v>
      </c>
      <c r="B10" t="s">
        <v>106</v>
      </c>
      <c r="C10" t="s">
        <v>73</v>
      </c>
    </row>
    <row r="11" spans="1:3" x14ac:dyDescent="0.3">
      <c r="A11" t="s">
        <v>105</v>
      </c>
      <c r="B11" t="s">
        <v>122</v>
      </c>
      <c r="C11" t="s">
        <v>121</v>
      </c>
    </row>
    <row r="12" spans="1:3" x14ac:dyDescent="0.3">
      <c r="A12" t="s">
        <v>112</v>
      </c>
      <c r="B12" t="s">
        <v>157</v>
      </c>
      <c r="C12" t="s">
        <v>156</v>
      </c>
    </row>
    <row r="13" spans="1:3" x14ac:dyDescent="0.3">
      <c r="A13" t="s">
        <v>112</v>
      </c>
      <c r="B13" t="s">
        <v>159</v>
      </c>
      <c r="C13" t="s">
        <v>158</v>
      </c>
    </row>
    <row r="14" spans="1:3" x14ac:dyDescent="0.3">
      <c r="A14" t="s">
        <v>41</v>
      </c>
      <c r="B14" t="s">
        <v>108</v>
      </c>
      <c r="C14" t="s">
        <v>72</v>
      </c>
    </row>
    <row r="15" spans="1:3" x14ac:dyDescent="0.3">
      <c r="A15" t="s">
        <v>41</v>
      </c>
      <c r="B15" t="s">
        <v>141</v>
      </c>
      <c r="C15" t="s">
        <v>140</v>
      </c>
    </row>
    <row r="16" spans="1:3" x14ac:dyDescent="0.3">
      <c r="A16" t="s">
        <v>112</v>
      </c>
      <c r="B16" t="s">
        <v>111</v>
      </c>
      <c r="C16" t="s">
        <v>110</v>
      </c>
    </row>
    <row r="17" spans="1:3" x14ac:dyDescent="0.3">
      <c r="A17" t="s">
        <v>40</v>
      </c>
      <c r="B17" t="s">
        <v>115</v>
      </c>
      <c r="C17" t="s">
        <v>114</v>
      </c>
    </row>
    <row r="18" spans="1:3" x14ac:dyDescent="0.3">
      <c r="A18" t="s">
        <v>131</v>
      </c>
      <c r="B18" t="s">
        <v>185</v>
      </c>
      <c r="C18" t="s">
        <v>184</v>
      </c>
    </row>
    <row r="19" spans="1:3" x14ac:dyDescent="0.3">
      <c r="A19" t="s">
        <v>119</v>
      </c>
      <c r="B19" t="s">
        <v>118</v>
      </c>
      <c r="C19" t="s">
        <v>117</v>
      </c>
    </row>
    <row r="20" spans="1:3" x14ac:dyDescent="0.3">
      <c r="A20" t="s">
        <v>112</v>
      </c>
      <c r="B20" t="s">
        <v>124</v>
      </c>
      <c r="C20" t="s">
        <v>123</v>
      </c>
    </row>
    <row r="21" spans="1:3" x14ac:dyDescent="0.3">
      <c r="A21" t="s">
        <v>42</v>
      </c>
      <c r="B21" t="s">
        <v>127</v>
      </c>
      <c r="C21" t="s">
        <v>126</v>
      </c>
    </row>
    <row r="22" spans="1:3" x14ac:dyDescent="0.3">
      <c r="A22" t="s">
        <v>131</v>
      </c>
      <c r="B22" t="s">
        <v>130</v>
      </c>
      <c r="C22" t="s">
        <v>129</v>
      </c>
    </row>
    <row r="23" spans="1:3" x14ac:dyDescent="0.3">
      <c r="A23" t="s">
        <v>135</v>
      </c>
      <c r="B23" t="s">
        <v>174</v>
      </c>
      <c r="C23" t="s">
        <v>173</v>
      </c>
    </row>
    <row r="24" spans="1:3" x14ac:dyDescent="0.3">
      <c r="A24" t="s">
        <v>135</v>
      </c>
      <c r="B24" t="s">
        <v>134</v>
      </c>
      <c r="C24" t="s">
        <v>133</v>
      </c>
    </row>
    <row r="25" spans="1:3" x14ac:dyDescent="0.3">
      <c r="A25" t="s">
        <v>135</v>
      </c>
      <c r="B25" t="s">
        <v>138</v>
      </c>
      <c r="C25" t="s">
        <v>137</v>
      </c>
    </row>
    <row r="26" spans="1:3" x14ac:dyDescent="0.3">
      <c r="A26" t="s">
        <v>43</v>
      </c>
      <c r="B26" t="s">
        <v>143</v>
      </c>
      <c r="C26" t="s">
        <v>142</v>
      </c>
    </row>
    <row r="27" spans="1:3" x14ac:dyDescent="0.3">
      <c r="A27" t="s">
        <v>135</v>
      </c>
      <c r="B27" t="s">
        <v>146</v>
      </c>
      <c r="C27" t="s">
        <v>145</v>
      </c>
    </row>
    <row r="28" spans="1:3" x14ac:dyDescent="0.3">
      <c r="A28" t="s">
        <v>152</v>
      </c>
      <c r="B28" t="s">
        <v>151</v>
      </c>
      <c r="C28" t="s">
        <v>150</v>
      </c>
    </row>
    <row r="29" spans="1:3" x14ac:dyDescent="0.3">
      <c r="A29" t="s">
        <v>152</v>
      </c>
      <c r="B29" t="s">
        <v>155</v>
      </c>
      <c r="C29" t="s">
        <v>154</v>
      </c>
    </row>
    <row r="30" spans="1:3" x14ac:dyDescent="0.3">
      <c r="A30" t="s">
        <v>164</v>
      </c>
      <c r="B30" t="s">
        <v>163</v>
      </c>
      <c r="C30" t="s">
        <v>162</v>
      </c>
    </row>
    <row r="31" spans="1:3" x14ac:dyDescent="0.3">
      <c r="A31" t="s">
        <v>40</v>
      </c>
      <c r="B31" t="s">
        <v>167</v>
      </c>
      <c r="C31" t="s">
        <v>166</v>
      </c>
    </row>
    <row r="32" spans="1:3" x14ac:dyDescent="0.3">
      <c r="A32" t="s">
        <v>171</v>
      </c>
      <c r="B32" t="s">
        <v>170</v>
      </c>
      <c r="C32" t="s">
        <v>169</v>
      </c>
    </row>
    <row r="33" spans="1:3" x14ac:dyDescent="0.3">
      <c r="A33" t="s">
        <v>105</v>
      </c>
      <c r="B33" t="s">
        <v>176</v>
      </c>
      <c r="C33" t="s">
        <v>175</v>
      </c>
    </row>
    <row r="34" spans="1:3" x14ac:dyDescent="0.3">
      <c r="A34" t="s">
        <v>105</v>
      </c>
      <c r="B34" t="s">
        <v>179</v>
      </c>
      <c r="C34" t="s">
        <v>178</v>
      </c>
    </row>
    <row r="35" spans="1:3" x14ac:dyDescent="0.3">
      <c r="A35" t="s">
        <v>164</v>
      </c>
      <c r="B35" t="s">
        <v>182</v>
      </c>
      <c r="C35" t="s">
        <v>181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0BE49-016B-470A-8217-32B29A6AE25F}">
  <dimension ref="A1:E35"/>
  <sheetViews>
    <sheetView topLeftCell="A18" zoomScale="145" zoomScaleNormal="145" workbookViewId="0">
      <selection activeCell="E35" sqref="E35"/>
    </sheetView>
  </sheetViews>
  <sheetFormatPr defaultRowHeight="14.4" x14ac:dyDescent="0.3"/>
  <cols>
    <col min="1" max="1" width="12.88671875" bestFit="1" customWidth="1"/>
    <col min="2" max="2" width="25.6640625" bestFit="1" customWidth="1"/>
    <col min="3" max="3" width="12.21875" bestFit="1" customWidth="1"/>
    <col min="4" max="4" width="13.6640625" customWidth="1"/>
    <col min="5" max="5" width="14.5546875" bestFit="1" customWidth="1"/>
  </cols>
  <sheetData>
    <row r="1" spans="1:5" x14ac:dyDescent="0.3">
      <c r="A1" t="s">
        <v>104</v>
      </c>
      <c r="B1" t="s">
        <v>16</v>
      </c>
      <c r="C1" t="s">
        <v>2</v>
      </c>
      <c r="D1" s="17" t="s">
        <v>35</v>
      </c>
      <c r="E1" t="s">
        <v>17</v>
      </c>
    </row>
    <row r="2" spans="1:5" x14ac:dyDescent="0.3">
      <c r="A2" t="s">
        <v>40</v>
      </c>
      <c r="B2" t="s">
        <v>20</v>
      </c>
      <c r="C2" t="s">
        <v>6</v>
      </c>
      <c r="D2">
        <v>1</v>
      </c>
      <c r="E2" t="s">
        <v>26</v>
      </c>
    </row>
    <row r="3" spans="1:5" x14ac:dyDescent="0.3">
      <c r="A3" t="s">
        <v>41</v>
      </c>
      <c r="B3" t="s">
        <v>21</v>
      </c>
      <c r="C3" t="s">
        <v>7</v>
      </c>
      <c r="D3">
        <v>2</v>
      </c>
      <c r="E3" t="s">
        <v>27</v>
      </c>
    </row>
    <row r="4" spans="1:5" x14ac:dyDescent="0.3">
      <c r="A4" t="s">
        <v>41</v>
      </c>
      <c r="B4" t="s">
        <v>161</v>
      </c>
      <c r="C4" t="s">
        <v>160</v>
      </c>
      <c r="D4">
        <v>2</v>
      </c>
      <c r="E4" t="s">
        <v>27</v>
      </c>
    </row>
    <row r="5" spans="1:5" x14ac:dyDescent="0.3">
      <c r="A5" t="s">
        <v>42</v>
      </c>
      <c r="B5" t="s">
        <v>22</v>
      </c>
      <c r="C5" t="s">
        <v>8</v>
      </c>
      <c r="D5">
        <v>3</v>
      </c>
      <c r="E5" t="s">
        <v>28</v>
      </c>
    </row>
    <row r="6" spans="1:5" x14ac:dyDescent="0.3">
      <c r="A6" t="s">
        <v>43</v>
      </c>
      <c r="B6" t="s">
        <v>23</v>
      </c>
      <c r="C6" t="s">
        <v>9</v>
      </c>
      <c r="D6">
        <v>4</v>
      </c>
      <c r="E6" t="s">
        <v>29</v>
      </c>
    </row>
    <row r="7" spans="1:5" x14ac:dyDescent="0.3">
      <c r="A7" t="s">
        <v>44</v>
      </c>
      <c r="B7" t="s">
        <v>24</v>
      </c>
      <c r="C7" t="s">
        <v>10</v>
      </c>
      <c r="D7">
        <v>5</v>
      </c>
      <c r="E7" t="s">
        <v>30</v>
      </c>
    </row>
    <row r="8" spans="1:5" x14ac:dyDescent="0.3">
      <c r="A8" t="s">
        <v>105</v>
      </c>
      <c r="B8" t="s">
        <v>25</v>
      </c>
      <c r="C8" t="s">
        <v>11</v>
      </c>
      <c r="D8">
        <v>6</v>
      </c>
      <c r="E8" t="s">
        <v>31</v>
      </c>
    </row>
    <row r="9" spans="1:5" x14ac:dyDescent="0.3">
      <c r="A9" t="s">
        <v>105</v>
      </c>
      <c r="B9" t="s">
        <v>149</v>
      </c>
      <c r="C9" t="s">
        <v>148</v>
      </c>
      <c r="D9">
        <v>6</v>
      </c>
      <c r="E9" t="s">
        <v>31</v>
      </c>
    </row>
    <row r="10" spans="1:5" x14ac:dyDescent="0.3">
      <c r="A10" t="s">
        <v>105</v>
      </c>
      <c r="B10" t="s">
        <v>106</v>
      </c>
      <c r="C10" t="s">
        <v>73</v>
      </c>
      <c r="D10">
        <v>7</v>
      </c>
      <c r="E10" t="s">
        <v>107</v>
      </c>
    </row>
    <row r="11" spans="1:5" x14ac:dyDescent="0.3">
      <c r="A11" t="s">
        <v>105</v>
      </c>
      <c r="B11" t="s">
        <v>122</v>
      </c>
      <c r="C11" t="s">
        <v>121</v>
      </c>
      <c r="D11">
        <v>7</v>
      </c>
      <c r="E11" t="s">
        <v>107</v>
      </c>
    </row>
    <row r="12" spans="1:5" x14ac:dyDescent="0.3">
      <c r="A12" t="s">
        <v>112</v>
      </c>
      <c r="B12" t="s">
        <v>157</v>
      </c>
      <c r="C12" t="s">
        <v>156</v>
      </c>
      <c r="D12">
        <v>7</v>
      </c>
      <c r="E12" t="s">
        <v>107</v>
      </c>
    </row>
    <row r="13" spans="1:5" x14ac:dyDescent="0.3">
      <c r="A13" t="s">
        <v>112</v>
      </c>
      <c r="B13" t="s">
        <v>159</v>
      </c>
      <c r="C13" t="s">
        <v>158</v>
      </c>
      <c r="D13">
        <v>7</v>
      </c>
      <c r="E13" t="s">
        <v>107</v>
      </c>
    </row>
    <row r="14" spans="1:5" x14ac:dyDescent="0.3">
      <c r="A14" t="s">
        <v>41</v>
      </c>
      <c r="B14" t="s">
        <v>108</v>
      </c>
      <c r="C14" t="s">
        <v>72</v>
      </c>
      <c r="D14">
        <v>8</v>
      </c>
      <c r="E14" t="s">
        <v>109</v>
      </c>
    </row>
    <row r="15" spans="1:5" x14ac:dyDescent="0.3">
      <c r="A15" t="s">
        <v>41</v>
      </c>
      <c r="B15" t="s">
        <v>141</v>
      </c>
      <c r="C15" t="s">
        <v>140</v>
      </c>
      <c r="D15">
        <v>8</v>
      </c>
      <c r="E15" t="s">
        <v>109</v>
      </c>
    </row>
    <row r="16" spans="1:5" x14ac:dyDescent="0.3">
      <c r="A16" t="s">
        <v>112</v>
      </c>
      <c r="B16" t="s">
        <v>111</v>
      </c>
      <c r="C16" t="s">
        <v>110</v>
      </c>
      <c r="D16">
        <v>9</v>
      </c>
      <c r="E16" t="s">
        <v>113</v>
      </c>
    </row>
    <row r="17" spans="1:5" x14ac:dyDescent="0.3">
      <c r="A17" t="s">
        <v>40</v>
      </c>
      <c r="B17" t="s">
        <v>115</v>
      </c>
      <c r="C17" t="s">
        <v>114</v>
      </c>
      <c r="D17">
        <v>10</v>
      </c>
      <c r="E17" t="s">
        <v>116</v>
      </c>
    </row>
    <row r="18" spans="1:5" x14ac:dyDescent="0.3">
      <c r="A18" t="s">
        <v>131</v>
      </c>
      <c r="B18" t="s">
        <v>185</v>
      </c>
      <c r="C18" t="s">
        <v>184</v>
      </c>
      <c r="D18">
        <v>10</v>
      </c>
      <c r="E18" t="s">
        <v>116</v>
      </c>
    </row>
    <row r="19" spans="1:5" x14ac:dyDescent="0.3">
      <c r="A19" t="s">
        <v>119</v>
      </c>
      <c r="B19" t="s">
        <v>118</v>
      </c>
      <c r="C19" t="s">
        <v>117</v>
      </c>
      <c r="D19">
        <v>11</v>
      </c>
      <c r="E19" t="s">
        <v>120</v>
      </c>
    </row>
    <row r="20" spans="1:5" x14ac:dyDescent="0.3">
      <c r="A20" t="s">
        <v>112</v>
      </c>
      <c r="B20" t="s">
        <v>124</v>
      </c>
      <c r="C20" t="s">
        <v>123</v>
      </c>
      <c r="D20">
        <v>12</v>
      </c>
      <c r="E20" t="s">
        <v>125</v>
      </c>
    </row>
    <row r="21" spans="1:5" x14ac:dyDescent="0.3">
      <c r="A21" t="s">
        <v>42</v>
      </c>
      <c r="B21" t="s">
        <v>127</v>
      </c>
      <c r="C21" t="s">
        <v>126</v>
      </c>
      <c r="D21">
        <v>13</v>
      </c>
      <c r="E21" t="s">
        <v>128</v>
      </c>
    </row>
    <row r="22" spans="1:5" x14ac:dyDescent="0.3">
      <c r="A22" t="s">
        <v>131</v>
      </c>
      <c r="B22" t="s">
        <v>130</v>
      </c>
      <c r="C22" t="s">
        <v>129</v>
      </c>
      <c r="D22">
        <v>14</v>
      </c>
      <c r="E22" t="s">
        <v>132</v>
      </c>
    </row>
    <row r="23" spans="1:5" x14ac:dyDescent="0.3">
      <c r="A23" t="s">
        <v>135</v>
      </c>
      <c r="B23" t="s">
        <v>174</v>
      </c>
      <c r="C23" t="s">
        <v>173</v>
      </c>
      <c r="D23">
        <v>15</v>
      </c>
      <c r="E23" t="s">
        <v>136</v>
      </c>
    </row>
    <row r="24" spans="1:5" x14ac:dyDescent="0.3">
      <c r="A24" t="s">
        <v>135</v>
      </c>
      <c r="B24" t="s">
        <v>134</v>
      </c>
      <c r="C24" t="s">
        <v>133</v>
      </c>
      <c r="D24">
        <v>15</v>
      </c>
      <c r="E24" t="s">
        <v>136</v>
      </c>
    </row>
    <row r="25" spans="1:5" x14ac:dyDescent="0.3">
      <c r="A25" t="s">
        <v>135</v>
      </c>
      <c r="B25" t="s">
        <v>138</v>
      </c>
      <c r="C25" t="s">
        <v>137</v>
      </c>
      <c r="D25">
        <v>16</v>
      </c>
      <c r="E25" t="s">
        <v>139</v>
      </c>
    </row>
    <row r="26" spans="1:5" x14ac:dyDescent="0.3">
      <c r="A26" t="s">
        <v>43</v>
      </c>
      <c r="B26" t="s">
        <v>143</v>
      </c>
      <c r="C26" t="s">
        <v>142</v>
      </c>
      <c r="D26">
        <v>17</v>
      </c>
      <c r="E26" t="s">
        <v>144</v>
      </c>
    </row>
    <row r="27" spans="1:5" x14ac:dyDescent="0.3">
      <c r="A27" t="s">
        <v>135</v>
      </c>
      <c r="B27" t="s">
        <v>146</v>
      </c>
      <c r="C27" t="s">
        <v>145</v>
      </c>
      <c r="D27">
        <v>18</v>
      </c>
      <c r="E27" t="s">
        <v>147</v>
      </c>
    </row>
    <row r="28" spans="1:5" x14ac:dyDescent="0.3">
      <c r="A28" t="s">
        <v>152</v>
      </c>
      <c r="B28" t="s">
        <v>151</v>
      </c>
      <c r="C28" t="s">
        <v>150</v>
      </c>
      <c r="D28">
        <v>19</v>
      </c>
      <c r="E28" t="s">
        <v>153</v>
      </c>
    </row>
    <row r="29" spans="1:5" x14ac:dyDescent="0.3">
      <c r="A29" t="s">
        <v>152</v>
      </c>
      <c r="B29" t="s">
        <v>155</v>
      </c>
      <c r="C29" t="s">
        <v>154</v>
      </c>
      <c r="D29">
        <v>19</v>
      </c>
      <c r="E29" t="s">
        <v>153</v>
      </c>
    </row>
    <row r="30" spans="1:5" x14ac:dyDescent="0.3">
      <c r="A30" t="s">
        <v>164</v>
      </c>
      <c r="B30" t="s">
        <v>163</v>
      </c>
      <c r="C30" t="s">
        <v>162</v>
      </c>
      <c r="D30">
        <v>20</v>
      </c>
      <c r="E30" t="s">
        <v>165</v>
      </c>
    </row>
    <row r="31" spans="1:5" x14ac:dyDescent="0.3">
      <c r="A31" t="s">
        <v>40</v>
      </c>
      <c r="B31" t="s">
        <v>167</v>
      </c>
      <c r="C31" t="s">
        <v>166</v>
      </c>
      <c r="D31">
        <v>21</v>
      </c>
      <c r="E31" t="s">
        <v>168</v>
      </c>
    </row>
    <row r="32" spans="1:5" x14ac:dyDescent="0.3">
      <c r="A32" t="s">
        <v>171</v>
      </c>
      <c r="B32" t="s">
        <v>170</v>
      </c>
      <c r="C32" t="s">
        <v>169</v>
      </c>
      <c r="D32">
        <v>22</v>
      </c>
      <c r="E32" t="s">
        <v>172</v>
      </c>
    </row>
    <row r="33" spans="1:5" x14ac:dyDescent="0.3">
      <c r="A33" t="s">
        <v>105</v>
      </c>
      <c r="B33" t="s">
        <v>176</v>
      </c>
      <c r="C33" t="s">
        <v>175</v>
      </c>
      <c r="D33">
        <v>23</v>
      </c>
      <c r="E33" t="s">
        <v>177</v>
      </c>
    </row>
    <row r="34" spans="1:5" x14ac:dyDescent="0.3">
      <c r="A34" t="s">
        <v>105</v>
      </c>
      <c r="B34" t="s">
        <v>179</v>
      </c>
      <c r="C34" t="s">
        <v>178</v>
      </c>
      <c r="D34">
        <v>24</v>
      </c>
      <c r="E34" t="s">
        <v>180</v>
      </c>
    </row>
    <row r="35" spans="1:5" x14ac:dyDescent="0.3">
      <c r="A35" t="s">
        <v>164</v>
      </c>
      <c r="B35" t="s">
        <v>182</v>
      </c>
      <c r="C35" t="s">
        <v>181</v>
      </c>
      <c r="D35">
        <v>25</v>
      </c>
      <c r="E35" t="s">
        <v>183</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251"/>
  <sheetViews>
    <sheetView tabSelected="1" zoomScale="130" zoomScaleNormal="130" workbookViewId="0">
      <selection activeCell="H3" sqref="H3"/>
    </sheetView>
  </sheetViews>
  <sheetFormatPr defaultRowHeight="14.4" x14ac:dyDescent="0.3"/>
  <cols>
    <col min="1" max="1" width="12.88671875" customWidth="1"/>
    <col min="2" max="2" width="14.77734375" bestFit="1" customWidth="1"/>
    <col min="3" max="3" width="12.109375" bestFit="1" customWidth="1"/>
    <col min="4" max="5" width="15.21875" bestFit="1" customWidth="1"/>
    <col min="6" max="6" width="14.88671875" customWidth="1"/>
    <col min="7" max="7" width="29.77734375" bestFit="1" customWidth="1"/>
    <col min="8" max="8" width="15.21875" bestFit="1" customWidth="1"/>
    <col min="9" max="9" width="18" customWidth="1"/>
  </cols>
  <sheetData>
    <row r="1" spans="1:9" x14ac:dyDescent="0.3">
      <c r="A1" s="7" t="s">
        <v>1</v>
      </c>
      <c r="B1" s="10" t="s">
        <v>192</v>
      </c>
      <c r="C1" s="10" t="s">
        <v>193</v>
      </c>
      <c r="D1" s="10" t="s">
        <v>194</v>
      </c>
      <c r="E1" s="10" t="s">
        <v>46</v>
      </c>
      <c r="F1" s="10" t="s">
        <v>47</v>
      </c>
      <c r="G1" s="10" t="s">
        <v>195</v>
      </c>
      <c r="H1" s="10" t="s">
        <v>196</v>
      </c>
      <c r="I1" s="10" t="s">
        <v>197</v>
      </c>
    </row>
    <row r="2" spans="1:9" x14ac:dyDescent="0.3">
      <c r="A2">
        <v>501</v>
      </c>
      <c r="B2" t="s">
        <v>50</v>
      </c>
      <c r="C2" t="s">
        <v>198</v>
      </c>
      <c r="D2" t="s">
        <v>199</v>
      </c>
      <c r="E2" t="s">
        <v>61</v>
      </c>
      <c r="F2">
        <v>8</v>
      </c>
      <c r="G2" t="s">
        <v>200</v>
      </c>
      <c r="H2" t="s">
        <v>727</v>
      </c>
      <c r="I2" t="s">
        <v>201</v>
      </c>
    </row>
    <row r="3" spans="1:9" x14ac:dyDescent="0.3">
      <c r="A3">
        <v>502</v>
      </c>
      <c r="B3" t="s">
        <v>57</v>
      </c>
      <c r="C3" t="s">
        <v>202</v>
      </c>
      <c r="D3" t="s">
        <v>203</v>
      </c>
      <c r="E3" t="s">
        <v>60</v>
      </c>
      <c r="F3">
        <v>3</v>
      </c>
      <c r="G3" t="s">
        <v>204</v>
      </c>
      <c r="H3" t="s">
        <v>728</v>
      </c>
      <c r="I3" t="s">
        <v>205</v>
      </c>
    </row>
    <row r="4" spans="1:9" x14ac:dyDescent="0.3">
      <c r="A4">
        <v>503</v>
      </c>
      <c r="B4" t="s">
        <v>55</v>
      </c>
      <c r="C4" t="s">
        <v>206</v>
      </c>
      <c r="D4" t="s">
        <v>207</v>
      </c>
      <c r="E4" t="s">
        <v>208</v>
      </c>
      <c r="F4">
        <v>1</v>
      </c>
      <c r="G4" t="s">
        <v>209</v>
      </c>
      <c r="H4" t="s">
        <v>729</v>
      </c>
      <c r="I4" t="s">
        <v>210</v>
      </c>
    </row>
    <row r="5" spans="1:9" x14ac:dyDescent="0.3">
      <c r="A5">
        <v>504</v>
      </c>
      <c r="B5" t="s">
        <v>55</v>
      </c>
      <c r="C5" t="s">
        <v>211</v>
      </c>
      <c r="D5" t="s">
        <v>212</v>
      </c>
      <c r="E5" t="s">
        <v>213</v>
      </c>
      <c r="F5">
        <v>10</v>
      </c>
      <c r="G5" t="s">
        <v>214</v>
      </c>
      <c r="H5" t="s">
        <v>730</v>
      </c>
      <c r="I5" t="s">
        <v>205</v>
      </c>
    </row>
    <row r="6" spans="1:9" x14ac:dyDescent="0.3">
      <c r="A6">
        <v>505</v>
      </c>
      <c r="B6" t="s">
        <v>52</v>
      </c>
      <c r="C6" t="s">
        <v>206</v>
      </c>
      <c r="D6" t="s">
        <v>215</v>
      </c>
      <c r="E6" t="s">
        <v>216</v>
      </c>
      <c r="F6">
        <v>8</v>
      </c>
      <c r="G6" t="s">
        <v>217</v>
      </c>
      <c r="H6" t="s">
        <v>731</v>
      </c>
      <c r="I6" t="s">
        <v>210</v>
      </c>
    </row>
    <row r="7" spans="1:9" x14ac:dyDescent="0.3">
      <c r="A7">
        <v>506</v>
      </c>
      <c r="B7" t="s">
        <v>218</v>
      </c>
      <c r="C7" t="s">
        <v>219</v>
      </c>
      <c r="D7" t="s">
        <v>220</v>
      </c>
      <c r="E7" t="s">
        <v>59</v>
      </c>
      <c r="F7">
        <v>3</v>
      </c>
      <c r="G7" t="s">
        <v>221</v>
      </c>
      <c r="H7" t="s">
        <v>732</v>
      </c>
      <c r="I7" t="s">
        <v>205</v>
      </c>
    </row>
    <row r="8" spans="1:9" x14ac:dyDescent="0.3">
      <c r="A8">
        <v>507</v>
      </c>
      <c r="B8" t="s">
        <v>52</v>
      </c>
      <c r="C8" t="s">
        <v>222</v>
      </c>
      <c r="D8" t="s">
        <v>223</v>
      </c>
      <c r="E8" t="s">
        <v>65</v>
      </c>
      <c r="F8">
        <v>9</v>
      </c>
      <c r="G8" t="s">
        <v>224</v>
      </c>
      <c r="H8" t="s">
        <v>733</v>
      </c>
      <c r="I8" t="s">
        <v>201</v>
      </c>
    </row>
    <row r="9" spans="1:9" x14ac:dyDescent="0.3">
      <c r="A9">
        <v>508</v>
      </c>
      <c r="B9" t="s">
        <v>225</v>
      </c>
      <c r="C9" t="s">
        <v>222</v>
      </c>
      <c r="D9" t="s">
        <v>226</v>
      </c>
      <c r="E9" t="s">
        <v>64</v>
      </c>
      <c r="F9">
        <v>9</v>
      </c>
      <c r="G9" t="s">
        <v>227</v>
      </c>
      <c r="H9" t="s">
        <v>734</v>
      </c>
      <c r="I9" t="s">
        <v>201</v>
      </c>
    </row>
    <row r="10" spans="1:9" x14ac:dyDescent="0.3">
      <c r="A10">
        <v>509</v>
      </c>
      <c r="B10" t="s">
        <v>228</v>
      </c>
      <c r="C10" t="s">
        <v>202</v>
      </c>
      <c r="D10" t="s">
        <v>229</v>
      </c>
      <c r="E10" t="s">
        <v>230</v>
      </c>
      <c r="F10">
        <v>2</v>
      </c>
      <c r="G10" t="s">
        <v>231</v>
      </c>
      <c r="H10" t="s">
        <v>735</v>
      </c>
      <c r="I10" t="s">
        <v>205</v>
      </c>
    </row>
    <row r="11" spans="1:9" x14ac:dyDescent="0.3">
      <c r="A11">
        <v>510</v>
      </c>
      <c r="B11" t="s">
        <v>225</v>
      </c>
      <c r="C11" t="s">
        <v>232</v>
      </c>
      <c r="D11" t="s">
        <v>233</v>
      </c>
      <c r="E11" t="s">
        <v>61</v>
      </c>
      <c r="F11">
        <v>5</v>
      </c>
      <c r="G11" t="s">
        <v>234</v>
      </c>
      <c r="H11" t="s">
        <v>736</v>
      </c>
      <c r="I11" t="s">
        <v>201</v>
      </c>
    </row>
    <row r="12" spans="1:9" x14ac:dyDescent="0.3">
      <c r="A12">
        <v>511</v>
      </c>
      <c r="B12" t="s">
        <v>235</v>
      </c>
      <c r="C12" t="s">
        <v>236</v>
      </c>
      <c r="D12" t="s">
        <v>237</v>
      </c>
      <c r="E12" t="s">
        <v>238</v>
      </c>
      <c r="F12">
        <v>5</v>
      </c>
      <c r="G12" t="s">
        <v>239</v>
      </c>
      <c r="H12" t="s">
        <v>737</v>
      </c>
      <c r="I12" t="s">
        <v>201</v>
      </c>
    </row>
    <row r="13" spans="1:9" x14ac:dyDescent="0.3">
      <c r="A13">
        <v>512</v>
      </c>
      <c r="B13" t="s">
        <v>240</v>
      </c>
      <c r="C13" t="s">
        <v>241</v>
      </c>
      <c r="D13" t="s">
        <v>242</v>
      </c>
      <c r="E13" t="s">
        <v>61</v>
      </c>
      <c r="F13">
        <v>1</v>
      </c>
      <c r="G13" t="s">
        <v>243</v>
      </c>
      <c r="H13" t="s">
        <v>738</v>
      </c>
      <c r="I13" t="s">
        <v>210</v>
      </c>
    </row>
    <row r="14" spans="1:9" x14ac:dyDescent="0.3">
      <c r="A14">
        <v>513</v>
      </c>
      <c r="B14" t="s">
        <v>50</v>
      </c>
      <c r="C14" t="s">
        <v>244</v>
      </c>
      <c r="D14" t="s">
        <v>245</v>
      </c>
      <c r="E14" t="s">
        <v>62</v>
      </c>
      <c r="F14">
        <v>7</v>
      </c>
      <c r="G14" t="s">
        <v>246</v>
      </c>
      <c r="H14" t="s">
        <v>739</v>
      </c>
      <c r="I14" t="s">
        <v>205</v>
      </c>
    </row>
    <row r="15" spans="1:9" x14ac:dyDescent="0.3">
      <c r="A15">
        <v>514</v>
      </c>
      <c r="B15" t="s">
        <v>49</v>
      </c>
      <c r="C15" t="s">
        <v>247</v>
      </c>
      <c r="D15" t="s">
        <v>248</v>
      </c>
      <c r="E15" t="s">
        <v>59</v>
      </c>
      <c r="F15">
        <v>4</v>
      </c>
      <c r="G15" t="s">
        <v>249</v>
      </c>
      <c r="H15" t="s">
        <v>740</v>
      </c>
      <c r="I15" t="s">
        <v>210</v>
      </c>
    </row>
    <row r="16" spans="1:9" x14ac:dyDescent="0.3">
      <c r="A16">
        <v>515</v>
      </c>
      <c r="B16" t="s">
        <v>57</v>
      </c>
      <c r="C16" t="s">
        <v>232</v>
      </c>
      <c r="D16" t="s">
        <v>250</v>
      </c>
      <c r="E16" t="s">
        <v>213</v>
      </c>
      <c r="F16">
        <v>7</v>
      </c>
      <c r="G16" t="s">
        <v>251</v>
      </c>
      <c r="H16" t="s">
        <v>741</v>
      </c>
      <c r="I16" t="s">
        <v>201</v>
      </c>
    </row>
    <row r="17" spans="1:9" x14ac:dyDescent="0.3">
      <c r="A17">
        <v>516</v>
      </c>
      <c r="B17" t="s">
        <v>252</v>
      </c>
      <c r="C17" t="s">
        <v>241</v>
      </c>
      <c r="D17" t="s">
        <v>253</v>
      </c>
      <c r="E17" t="s">
        <v>62</v>
      </c>
      <c r="F17">
        <v>10</v>
      </c>
      <c r="G17" t="s">
        <v>254</v>
      </c>
      <c r="H17" t="s">
        <v>742</v>
      </c>
      <c r="I17" t="s">
        <v>205</v>
      </c>
    </row>
    <row r="18" spans="1:9" x14ac:dyDescent="0.3">
      <c r="A18">
        <v>517</v>
      </c>
      <c r="B18" t="s">
        <v>52</v>
      </c>
      <c r="C18" t="s">
        <v>255</v>
      </c>
      <c r="D18" t="s">
        <v>256</v>
      </c>
      <c r="E18" t="s">
        <v>208</v>
      </c>
      <c r="F18">
        <v>5</v>
      </c>
      <c r="G18" t="s">
        <v>257</v>
      </c>
      <c r="H18" t="s">
        <v>743</v>
      </c>
      <c r="I18" t="s">
        <v>205</v>
      </c>
    </row>
    <row r="19" spans="1:9" x14ac:dyDescent="0.3">
      <c r="A19">
        <v>518</v>
      </c>
      <c r="B19" t="s">
        <v>258</v>
      </c>
      <c r="C19" t="s">
        <v>259</v>
      </c>
      <c r="D19" t="s">
        <v>260</v>
      </c>
      <c r="E19" t="s">
        <v>216</v>
      </c>
      <c r="F19">
        <v>3</v>
      </c>
      <c r="G19" t="s">
        <v>261</v>
      </c>
      <c r="H19" t="s">
        <v>744</v>
      </c>
      <c r="I19" t="s">
        <v>210</v>
      </c>
    </row>
    <row r="20" spans="1:9" x14ac:dyDescent="0.3">
      <c r="A20">
        <v>519</v>
      </c>
      <c r="B20" t="s">
        <v>258</v>
      </c>
      <c r="C20" t="s">
        <v>198</v>
      </c>
      <c r="D20" t="s">
        <v>262</v>
      </c>
      <c r="E20" t="s">
        <v>230</v>
      </c>
      <c r="F20">
        <v>8</v>
      </c>
      <c r="G20" t="s">
        <v>263</v>
      </c>
      <c r="H20" t="s">
        <v>745</v>
      </c>
      <c r="I20" t="s">
        <v>205</v>
      </c>
    </row>
    <row r="21" spans="1:9" x14ac:dyDescent="0.3">
      <c r="A21">
        <v>520</v>
      </c>
      <c r="B21" t="s">
        <v>264</v>
      </c>
      <c r="C21" t="s">
        <v>211</v>
      </c>
      <c r="D21" t="s">
        <v>265</v>
      </c>
      <c r="E21" t="s">
        <v>67</v>
      </c>
      <c r="F21">
        <v>7</v>
      </c>
      <c r="G21" t="s">
        <v>266</v>
      </c>
      <c r="H21" t="s">
        <v>746</v>
      </c>
      <c r="I21" t="s">
        <v>201</v>
      </c>
    </row>
    <row r="22" spans="1:9" x14ac:dyDescent="0.3">
      <c r="A22">
        <v>521</v>
      </c>
      <c r="B22" t="s">
        <v>57</v>
      </c>
      <c r="C22" t="s">
        <v>267</v>
      </c>
      <c r="D22" t="s">
        <v>268</v>
      </c>
      <c r="E22" t="s">
        <v>66</v>
      </c>
      <c r="F22">
        <v>6</v>
      </c>
      <c r="G22" t="s">
        <v>269</v>
      </c>
      <c r="H22" t="s">
        <v>747</v>
      </c>
      <c r="I22" t="s">
        <v>201</v>
      </c>
    </row>
    <row r="23" spans="1:9" x14ac:dyDescent="0.3">
      <c r="A23">
        <v>522</v>
      </c>
      <c r="B23" t="s">
        <v>218</v>
      </c>
      <c r="C23" t="s">
        <v>270</v>
      </c>
      <c r="D23" t="s">
        <v>271</v>
      </c>
      <c r="E23" t="s">
        <v>272</v>
      </c>
      <c r="F23">
        <v>10</v>
      </c>
      <c r="G23" t="s">
        <v>273</v>
      </c>
      <c r="H23" t="s">
        <v>748</v>
      </c>
      <c r="I23" t="s">
        <v>210</v>
      </c>
    </row>
    <row r="24" spans="1:9" x14ac:dyDescent="0.3">
      <c r="A24">
        <v>523</v>
      </c>
      <c r="B24" t="s">
        <v>274</v>
      </c>
      <c r="C24" t="s">
        <v>211</v>
      </c>
      <c r="D24" t="s">
        <v>275</v>
      </c>
      <c r="E24" t="s">
        <v>66</v>
      </c>
      <c r="F24">
        <v>1</v>
      </c>
      <c r="G24" t="s">
        <v>276</v>
      </c>
      <c r="H24" t="s">
        <v>749</v>
      </c>
      <c r="I24" t="s">
        <v>201</v>
      </c>
    </row>
    <row r="25" spans="1:9" x14ac:dyDescent="0.3">
      <c r="A25">
        <v>524</v>
      </c>
      <c r="B25" t="s">
        <v>277</v>
      </c>
      <c r="C25" t="s">
        <v>236</v>
      </c>
      <c r="D25" t="s">
        <v>278</v>
      </c>
      <c r="E25" t="s">
        <v>213</v>
      </c>
      <c r="F25">
        <v>5</v>
      </c>
      <c r="G25" t="s">
        <v>279</v>
      </c>
      <c r="H25" t="s">
        <v>750</v>
      </c>
      <c r="I25" t="s">
        <v>201</v>
      </c>
    </row>
    <row r="26" spans="1:9" x14ac:dyDescent="0.3">
      <c r="A26">
        <v>525</v>
      </c>
      <c r="B26" t="s">
        <v>280</v>
      </c>
      <c r="C26" t="s">
        <v>202</v>
      </c>
      <c r="D26" t="s">
        <v>281</v>
      </c>
      <c r="E26" t="s">
        <v>216</v>
      </c>
      <c r="F26">
        <v>4</v>
      </c>
      <c r="G26" t="s">
        <v>282</v>
      </c>
      <c r="H26" t="s">
        <v>751</v>
      </c>
      <c r="I26" t="s">
        <v>201</v>
      </c>
    </row>
    <row r="27" spans="1:9" x14ac:dyDescent="0.3">
      <c r="A27">
        <v>526</v>
      </c>
      <c r="B27" t="s">
        <v>56</v>
      </c>
      <c r="C27" t="s">
        <v>222</v>
      </c>
      <c r="D27" t="s">
        <v>283</v>
      </c>
      <c r="E27" t="s">
        <v>272</v>
      </c>
      <c r="F27">
        <v>4</v>
      </c>
      <c r="G27" t="s">
        <v>284</v>
      </c>
      <c r="H27" t="s">
        <v>752</v>
      </c>
      <c r="I27" t="s">
        <v>201</v>
      </c>
    </row>
    <row r="28" spans="1:9" x14ac:dyDescent="0.3">
      <c r="A28">
        <v>527</v>
      </c>
      <c r="B28" t="s">
        <v>285</v>
      </c>
      <c r="C28" t="s">
        <v>232</v>
      </c>
      <c r="D28" t="s">
        <v>286</v>
      </c>
      <c r="E28" t="s">
        <v>272</v>
      </c>
      <c r="F28">
        <v>2</v>
      </c>
      <c r="G28" t="s">
        <v>287</v>
      </c>
      <c r="H28" t="s">
        <v>753</v>
      </c>
      <c r="I28" t="s">
        <v>210</v>
      </c>
    </row>
    <row r="29" spans="1:9" x14ac:dyDescent="0.3">
      <c r="A29">
        <v>528</v>
      </c>
      <c r="B29" t="s">
        <v>49</v>
      </c>
      <c r="C29" t="s">
        <v>241</v>
      </c>
      <c r="D29" t="s">
        <v>288</v>
      </c>
      <c r="E29" t="s">
        <v>289</v>
      </c>
      <c r="F29">
        <v>5</v>
      </c>
      <c r="G29" t="s">
        <v>290</v>
      </c>
      <c r="H29" t="s">
        <v>754</v>
      </c>
      <c r="I29" t="s">
        <v>210</v>
      </c>
    </row>
    <row r="30" spans="1:9" x14ac:dyDescent="0.3">
      <c r="A30">
        <v>529</v>
      </c>
      <c r="B30" t="s">
        <v>218</v>
      </c>
      <c r="C30" t="s">
        <v>236</v>
      </c>
      <c r="D30" t="s">
        <v>291</v>
      </c>
      <c r="E30" t="s">
        <v>65</v>
      </c>
      <c r="F30">
        <v>4</v>
      </c>
      <c r="G30" t="s">
        <v>292</v>
      </c>
      <c r="H30" t="s">
        <v>755</v>
      </c>
      <c r="I30" t="s">
        <v>201</v>
      </c>
    </row>
    <row r="31" spans="1:9" x14ac:dyDescent="0.3">
      <c r="A31">
        <v>530</v>
      </c>
      <c r="B31" t="s">
        <v>48</v>
      </c>
      <c r="C31" t="s">
        <v>255</v>
      </c>
      <c r="D31" t="s">
        <v>293</v>
      </c>
      <c r="E31" t="s">
        <v>58</v>
      </c>
      <c r="F31">
        <v>1</v>
      </c>
      <c r="G31" t="s">
        <v>294</v>
      </c>
      <c r="H31" t="s">
        <v>756</v>
      </c>
      <c r="I31" t="s">
        <v>205</v>
      </c>
    </row>
    <row r="32" spans="1:9" x14ac:dyDescent="0.3">
      <c r="A32">
        <v>531</v>
      </c>
      <c r="B32" t="s">
        <v>295</v>
      </c>
      <c r="C32" t="s">
        <v>296</v>
      </c>
      <c r="D32" t="s">
        <v>297</v>
      </c>
      <c r="E32" t="s">
        <v>208</v>
      </c>
      <c r="F32">
        <v>10</v>
      </c>
      <c r="G32" t="s">
        <v>298</v>
      </c>
      <c r="H32" t="s">
        <v>757</v>
      </c>
      <c r="I32" t="s">
        <v>205</v>
      </c>
    </row>
    <row r="33" spans="1:9" x14ac:dyDescent="0.3">
      <c r="A33">
        <v>532</v>
      </c>
      <c r="B33" t="s">
        <v>277</v>
      </c>
      <c r="C33" t="s">
        <v>202</v>
      </c>
      <c r="D33" t="s">
        <v>299</v>
      </c>
      <c r="E33" t="s">
        <v>64</v>
      </c>
      <c r="F33">
        <v>3</v>
      </c>
      <c r="G33" t="s">
        <v>300</v>
      </c>
      <c r="H33" t="s">
        <v>758</v>
      </c>
      <c r="I33" t="s">
        <v>210</v>
      </c>
    </row>
    <row r="34" spans="1:9" x14ac:dyDescent="0.3">
      <c r="A34">
        <v>533</v>
      </c>
      <c r="B34" t="s">
        <v>285</v>
      </c>
      <c r="C34" t="s">
        <v>259</v>
      </c>
      <c r="D34" t="s">
        <v>301</v>
      </c>
      <c r="E34" t="s">
        <v>65</v>
      </c>
      <c r="F34">
        <v>7</v>
      </c>
      <c r="G34" t="s">
        <v>302</v>
      </c>
      <c r="H34" t="s">
        <v>759</v>
      </c>
      <c r="I34" t="s">
        <v>201</v>
      </c>
    </row>
    <row r="35" spans="1:9" x14ac:dyDescent="0.3">
      <c r="A35">
        <v>534</v>
      </c>
      <c r="B35" t="s">
        <v>277</v>
      </c>
      <c r="C35" t="s">
        <v>296</v>
      </c>
      <c r="D35" t="s">
        <v>303</v>
      </c>
      <c r="E35" t="s">
        <v>272</v>
      </c>
      <c r="F35">
        <v>5</v>
      </c>
      <c r="G35" t="s">
        <v>304</v>
      </c>
      <c r="H35" t="s">
        <v>760</v>
      </c>
      <c r="I35" t="s">
        <v>205</v>
      </c>
    </row>
    <row r="36" spans="1:9" x14ac:dyDescent="0.3">
      <c r="A36">
        <v>535</v>
      </c>
      <c r="B36" t="s">
        <v>218</v>
      </c>
      <c r="C36" t="s">
        <v>296</v>
      </c>
      <c r="D36" t="s">
        <v>305</v>
      </c>
      <c r="E36" t="s">
        <v>208</v>
      </c>
      <c r="F36">
        <v>10</v>
      </c>
      <c r="G36" t="s">
        <v>306</v>
      </c>
      <c r="H36" t="s">
        <v>761</v>
      </c>
      <c r="I36" t="s">
        <v>201</v>
      </c>
    </row>
    <row r="37" spans="1:9" x14ac:dyDescent="0.3">
      <c r="A37">
        <v>536</v>
      </c>
      <c r="B37" t="s">
        <v>258</v>
      </c>
      <c r="C37" t="s">
        <v>211</v>
      </c>
      <c r="D37" t="s">
        <v>307</v>
      </c>
      <c r="E37" t="s">
        <v>308</v>
      </c>
      <c r="F37">
        <v>4</v>
      </c>
      <c r="G37" t="s">
        <v>309</v>
      </c>
      <c r="H37" t="s">
        <v>762</v>
      </c>
      <c r="I37" t="s">
        <v>210</v>
      </c>
    </row>
    <row r="38" spans="1:9" x14ac:dyDescent="0.3">
      <c r="A38">
        <v>537</v>
      </c>
      <c r="B38" t="s">
        <v>51</v>
      </c>
      <c r="C38" t="s">
        <v>219</v>
      </c>
      <c r="D38" t="s">
        <v>310</v>
      </c>
      <c r="E38" t="s">
        <v>62</v>
      </c>
      <c r="F38">
        <v>6</v>
      </c>
      <c r="G38" t="s">
        <v>311</v>
      </c>
      <c r="H38" t="s">
        <v>763</v>
      </c>
      <c r="I38" t="s">
        <v>210</v>
      </c>
    </row>
    <row r="39" spans="1:9" x14ac:dyDescent="0.3">
      <c r="A39">
        <v>538</v>
      </c>
      <c r="B39" t="s">
        <v>274</v>
      </c>
      <c r="C39" t="s">
        <v>244</v>
      </c>
      <c r="D39" t="s">
        <v>312</v>
      </c>
      <c r="E39" t="s">
        <v>65</v>
      </c>
      <c r="F39">
        <v>1</v>
      </c>
      <c r="G39" t="s">
        <v>313</v>
      </c>
      <c r="H39" t="s">
        <v>764</v>
      </c>
      <c r="I39" t="s">
        <v>205</v>
      </c>
    </row>
    <row r="40" spans="1:9" x14ac:dyDescent="0.3">
      <c r="A40">
        <v>539</v>
      </c>
      <c r="B40" t="s">
        <v>54</v>
      </c>
      <c r="C40" t="s">
        <v>255</v>
      </c>
      <c r="D40" t="s">
        <v>314</v>
      </c>
      <c r="E40" t="s">
        <v>61</v>
      </c>
      <c r="F40">
        <v>1</v>
      </c>
      <c r="G40" t="s">
        <v>315</v>
      </c>
      <c r="H40" t="s">
        <v>765</v>
      </c>
      <c r="I40" t="s">
        <v>201</v>
      </c>
    </row>
    <row r="41" spans="1:9" x14ac:dyDescent="0.3">
      <c r="A41">
        <v>540</v>
      </c>
      <c r="B41" t="s">
        <v>280</v>
      </c>
      <c r="C41" t="s">
        <v>270</v>
      </c>
      <c r="D41" t="s">
        <v>316</v>
      </c>
      <c r="E41" t="s">
        <v>272</v>
      </c>
      <c r="F41">
        <v>3</v>
      </c>
      <c r="G41" t="s">
        <v>317</v>
      </c>
      <c r="H41" t="s">
        <v>766</v>
      </c>
      <c r="I41" t="s">
        <v>205</v>
      </c>
    </row>
    <row r="42" spans="1:9" x14ac:dyDescent="0.3">
      <c r="A42">
        <v>541</v>
      </c>
      <c r="B42" t="s">
        <v>295</v>
      </c>
      <c r="C42" t="s">
        <v>270</v>
      </c>
      <c r="D42" t="s">
        <v>318</v>
      </c>
      <c r="E42" t="s">
        <v>238</v>
      </c>
      <c r="F42">
        <v>1</v>
      </c>
      <c r="G42" t="s">
        <v>319</v>
      </c>
      <c r="H42" t="s">
        <v>767</v>
      </c>
      <c r="I42" t="s">
        <v>205</v>
      </c>
    </row>
    <row r="43" spans="1:9" x14ac:dyDescent="0.3">
      <c r="A43">
        <v>542</v>
      </c>
      <c r="B43" t="s">
        <v>228</v>
      </c>
      <c r="C43" t="s">
        <v>270</v>
      </c>
      <c r="D43" t="s">
        <v>320</v>
      </c>
      <c r="E43" t="s">
        <v>67</v>
      </c>
      <c r="F43">
        <v>5</v>
      </c>
      <c r="G43" t="s">
        <v>321</v>
      </c>
      <c r="H43" t="s">
        <v>768</v>
      </c>
      <c r="I43" t="s">
        <v>205</v>
      </c>
    </row>
    <row r="44" spans="1:9" x14ac:dyDescent="0.3">
      <c r="A44">
        <v>543</v>
      </c>
      <c r="B44" t="s">
        <v>285</v>
      </c>
      <c r="C44" t="s">
        <v>255</v>
      </c>
      <c r="D44" t="s">
        <v>322</v>
      </c>
      <c r="E44" t="s">
        <v>60</v>
      </c>
      <c r="F44">
        <v>2</v>
      </c>
      <c r="G44" t="s">
        <v>323</v>
      </c>
      <c r="H44" t="s">
        <v>769</v>
      </c>
      <c r="I44" t="s">
        <v>210</v>
      </c>
    </row>
    <row r="45" spans="1:9" x14ac:dyDescent="0.3">
      <c r="A45">
        <v>544</v>
      </c>
      <c r="B45" t="s">
        <v>51</v>
      </c>
      <c r="C45" t="s">
        <v>324</v>
      </c>
      <c r="D45" t="s">
        <v>325</v>
      </c>
      <c r="E45" t="s">
        <v>67</v>
      </c>
      <c r="F45">
        <v>9</v>
      </c>
      <c r="G45" t="s">
        <v>326</v>
      </c>
      <c r="H45" t="s">
        <v>770</v>
      </c>
      <c r="I45" t="s">
        <v>201</v>
      </c>
    </row>
    <row r="46" spans="1:9" x14ac:dyDescent="0.3">
      <c r="A46">
        <v>545</v>
      </c>
      <c r="B46" t="s">
        <v>252</v>
      </c>
      <c r="C46" t="s">
        <v>236</v>
      </c>
      <c r="D46" t="s">
        <v>327</v>
      </c>
      <c r="E46" t="s">
        <v>230</v>
      </c>
      <c r="F46">
        <v>8</v>
      </c>
      <c r="G46" t="s">
        <v>328</v>
      </c>
      <c r="H46" t="s">
        <v>771</v>
      </c>
      <c r="I46" t="s">
        <v>201</v>
      </c>
    </row>
    <row r="47" spans="1:9" x14ac:dyDescent="0.3">
      <c r="A47">
        <v>546</v>
      </c>
      <c r="B47" t="s">
        <v>57</v>
      </c>
      <c r="C47" t="s">
        <v>329</v>
      </c>
      <c r="D47" t="s">
        <v>330</v>
      </c>
      <c r="E47" t="s">
        <v>272</v>
      </c>
      <c r="F47">
        <v>5</v>
      </c>
      <c r="G47" t="s">
        <v>331</v>
      </c>
      <c r="H47" t="s">
        <v>772</v>
      </c>
      <c r="I47" t="s">
        <v>201</v>
      </c>
    </row>
    <row r="48" spans="1:9" x14ac:dyDescent="0.3">
      <c r="A48">
        <v>547</v>
      </c>
      <c r="B48" t="s">
        <v>55</v>
      </c>
      <c r="C48" t="s">
        <v>296</v>
      </c>
      <c r="D48" t="s">
        <v>332</v>
      </c>
      <c r="E48" t="s">
        <v>333</v>
      </c>
      <c r="F48">
        <v>2</v>
      </c>
      <c r="G48" t="s">
        <v>334</v>
      </c>
      <c r="H48" t="s">
        <v>773</v>
      </c>
      <c r="I48" t="s">
        <v>210</v>
      </c>
    </row>
    <row r="49" spans="1:9" x14ac:dyDescent="0.3">
      <c r="A49">
        <v>548</v>
      </c>
      <c r="B49" t="s">
        <v>258</v>
      </c>
      <c r="C49" t="s">
        <v>206</v>
      </c>
      <c r="D49" t="s">
        <v>335</v>
      </c>
      <c r="E49" t="s">
        <v>213</v>
      </c>
      <c r="F49">
        <v>9</v>
      </c>
      <c r="G49" t="s">
        <v>336</v>
      </c>
      <c r="H49" t="s">
        <v>774</v>
      </c>
      <c r="I49" t="s">
        <v>201</v>
      </c>
    </row>
    <row r="50" spans="1:9" x14ac:dyDescent="0.3">
      <c r="A50">
        <v>549</v>
      </c>
      <c r="B50" t="s">
        <v>55</v>
      </c>
      <c r="C50" t="s">
        <v>267</v>
      </c>
      <c r="D50" t="s">
        <v>337</v>
      </c>
      <c r="E50" t="s">
        <v>289</v>
      </c>
      <c r="F50">
        <v>5</v>
      </c>
      <c r="G50" t="s">
        <v>338</v>
      </c>
      <c r="H50" t="s">
        <v>775</v>
      </c>
      <c r="I50" t="s">
        <v>210</v>
      </c>
    </row>
    <row r="51" spans="1:9" x14ac:dyDescent="0.3">
      <c r="A51">
        <v>550</v>
      </c>
      <c r="B51" t="s">
        <v>285</v>
      </c>
      <c r="C51" t="s">
        <v>339</v>
      </c>
      <c r="D51" t="s">
        <v>340</v>
      </c>
      <c r="E51" t="s">
        <v>63</v>
      </c>
      <c r="F51">
        <v>7</v>
      </c>
      <c r="G51" t="s">
        <v>341</v>
      </c>
      <c r="H51" t="s">
        <v>776</v>
      </c>
      <c r="I51" t="s">
        <v>210</v>
      </c>
    </row>
    <row r="52" spans="1:9" x14ac:dyDescent="0.3">
      <c r="A52">
        <v>551</v>
      </c>
      <c r="B52" t="s">
        <v>295</v>
      </c>
      <c r="C52" t="s">
        <v>329</v>
      </c>
      <c r="D52" t="s">
        <v>342</v>
      </c>
      <c r="E52" t="s">
        <v>64</v>
      </c>
      <c r="F52">
        <v>5</v>
      </c>
      <c r="G52" t="s">
        <v>343</v>
      </c>
      <c r="H52" t="s">
        <v>777</v>
      </c>
      <c r="I52" t="s">
        <v>210</v>
      </c>
    </row>
    <row r="53" spans="1:9" x14ac:dyDescent="0.3">
      <c r="A53">
        <v>552</v>
      </c>
      <c r="B53" t="s">
        <v>218</v>
      </c>
      <c r="C53" t="s">
        <v>296</v>
      </c>
      <c r="D53" t="s">
        <v>305</v>
      </c>
      <c r="E53" t="s">
        <v>67</v>
      </c>
      <c r="F53">
        <v>5</v>
      </c>
      <c r="G53" t="s">
        <v>344</v>
      </c>
      <c r="H53" t="s">
        <v>778</v>
      </c>
      <c r="I53" t="s">
        <v>205</v>
      </c>
    </row>
    <row r="54" spans="1:9" x14ac:dyDescent="0.3">
      <c r="A54">
        <v>553</v>
      </c>
      <c r="B54" t="s">
        <v>55</v>
      </c>
      <c r="C54" t="s">
        <v>219</v>
      </c>
      <c r="D54" t="s">
        <v>345</v>
      </c>
      <c r="E54" t="s">
        <v>216</v>
      </c>
      <c r="F54">
        <v>2</v>
      </c>
      <c r="G54" t="s">
        <v>346</v>
      </c>
      <c r="H54" t="s">
        <v>779</v>
      </c>
      <c r="I54" t="s">
        <v>201</v>
      </c>
    </row>
    <row r="55" spans="1:9" x14ac:dyDescent="0.3">
      <c r="A55">
        <v>554</v>
      </c>
      <c r="B55" t="s">
        <v>235</v>
      </c>
      <c r="C55" t="s">
        <v>259</v>
      </c>
      <c r="D55" t="s">
        <v>347</v>
      </c>
      <c r="E55" t="s">
        <v>59</v>
      </c>
      <c r="F55">
        <v>3</v>
      </c>
      <c r="G55" t="s">
        <v>348</v>
      </c>
      <c r="H55" t="s">
        <v>780</v>
      </c>
      <c r="I55" t="s">
        <v>210</v>
      </c>
    </row>
    <row r="56" spans="1:9" x14ac:dyDescent="0.3">
      <c r="A56">
        <v>555</v>
      </c>
      <c r="B56" t="s">
        <v>277</v>
      </c>
      <c r="C56" t="s">
        <v>241</v>
      </c>
      <c r="D56" t="s">
        <v>349</v>
      </c>
      <c r="E56" t="s">
        <v>59</v>
      </c>
      <c r="F56">
        <v>7</v>
      </c>
      <c r="G56" t="s">
        <v>350</v>
      </c>
      <c r="H56" t="s">
        <v>781</v>
      </c>
      <c r="I56" t="s">
        <v>210</v>
      </c>
    </row>
    <row r="57" spans="1:9" x14ac:dyDescent="0.3">
      <c r="A57">
        <v>556</v>
      </c>
      <c r="B57" t="s">
        <v>252</v>
      </c>
      <c r="C57" t="s">
        <v>241</v>
      </c>
      <c r="D57" t="s">
        <v>253</v>
      </c>
      <c r="E57" t="s">
        <v>333</v>
      </c>
      <c r="F57">
        <v>4</v>
      </c>
      <c r="G57" t="s">
        <v>351</v>
      </c>
      <c r="H57" t="s">
        <v>782</v>
      </c>
      <c r="I57" t="s">
        <v>210</v>
      </c>
    </row>
    <row r="58" spans="1:9" x14ac:dyDescent="0.3">
      <c r="A58">
        <v>557</v>
      </c>
      <c r="B58" t="s">
        <v>54</v>
      </c>
      <c r="C58" t="s">
        <v>352</v>
      </c>
      <c r="D58" t="s">
        <v>353</v>
      </c>
      <c r="E58" t="s">
        <v>66</v>
      </c>
      <c r="F58">
        <v>7</v>
      </c>
      <c r="G58" t="s">
        <v>354</v>
      </c>
      <c r="H58" t="s">
        <v>783</v>
      </c>
      <c r="I58" t="s">
        <v>201</v>
      </c>
    </row>
    <row r="59" spans="1:9" x14ac:dyDescent="0.3">
      <c r="A59">
        <v>558</v>
      </c>
      <c r="B59" t="s">
        <v>252</v>
      </c>
      <c r="C59" t="s">
        <v>255</v>
      </c>
      <c r="D59" t="s">
        <v>355</v>
      </c>
      <c r="E59" t="s">
        <v>63</v>
      </c>
      <c r="F59">
        <v>6</v>
      </c>
      <c r="G59" t="s">
        <v>356</v>
      </c>
      <c r="H59" t="s">
        <v>784</v>
      </c>
      <c r="I59" t="s">
        <v>201</v>
      </c>
    </row>
    <row r="60" spans="1:9" x14ac:dyDescent="0.3">
      <c r="A60">
        <v>559</v>
      </c>
      <c r="B60" t="s">
        <v>357</v>
      </c>
      <c r="C60" t="s">
        <v>232</v>
      </c>
      <c r="D60" t="s">
        <v>358</v>
      </c>
      <c r="E60" t="s">
        <v>59</v>
      </c>
      <c r="F60">
        <v>9</v>
      </c>
      <c r="G60" t="s">
        <v>359</v>
      </c>
      <c r="H60" t="s">
        <v>785</v>
      </c>
      <c r="I60" t="s">
        <v>201</v>
      </c>
    </row>
    <row r="61" spans="1:9" x14ac:dyDescent="0.3">
      <c r="A61">
        <v>560</v>
      </c>
      <c r="B61" t="s">
        <v>240</v>
      </c>
      <c r="C61" t="s">
        <v>324</v>
      </c>
      <c r="D61" t="s">
        <v>360</v>
      </c>
      <c r="E61" t="s">
        <v>65</v>
      </c>
      <c r="F61">
        <v>3</v>
      </c>
      <c r="G61" t="s">
        <v>361</v>
      </c>
      <c r="H61" t="s">
        <v>786</v>
      </c>
      <c r="I61" t="s">
        <v>201</v>
      </c>
    </row>
    <row r="62" spans="1:9" x14ac:dyDescent="0.3">
      <c r="A62">
        <v>561</v>
      </c>
      <c r="B62" t="s">
        <v>218</v>
      </c>
      <c r="C62" t="s">
        <v>219</v>
      </c>
      <c r="D62" t="s">
        <v>220</v>
      </c>
      <c r="E62" t="s">
        <v>63</v>
      </c>
      <c r="F62">
        <v>10</v>
      </c>
      <c r="G62" t="s">
        <v>362</v>
      </c>
      <c r="H62" t="s">
        <v>787</v>
      </c>
      <c r="I62" t="s">
        <v>201</v>
      </c>
    </row>
    <row r="63" spans="1:9" x14ac:dyDescent="0.3">
      <c r="A63">
        <v>562</v>
      </c>
      <c r="B63" t="s">
        <v>54</v>
      </c>
      <c r="C63" t="s">
        <v>352</v>
      </c>
      <c r="D63" t="s">
        <v>353</v>
      </c>
      <c r="E63" t="s">
        <v>66</v>
      </c>
      <c r="F63">
        <v>2</v>
      </c>
      <c r="G63" t="s">
        <v>363</v>
      </c>
      <c r="H63" t="s">
        <v>788</v>
      </c>
      <c r="I63" t="s">
        <v>210</v>
      </c>
    </row>
    <row r="64" spans="1:9" x14ac:dyDescent="0.3">
      <c r="A64">
        <v>563</v>
      </c>
      <c r="B64" t="s">
        <v>55</v>
      </c>
      <c r="C64" t="s">
        <v>324</v>
      </c>
      <c r="D64" t="s">
        <v>364</v>
      </c>
      <c r="E64" t="s">
        <v>208</v>
      </c>
      <c r="F64">
        <v>6</v>
      </c>
      <c r="G64" t="s">
        <v>365</v>
      </c>
      <c r="H64" t="s">
        <v>789</v>
      </c>
      <c r="I64" t="s">
        <v>205</v>
      </c>
    </row>
    <row r="65" spans="1:9" x14ac:dyDescent="0.3">
      <c r="A65">
        <v>564</v>
      </c>
      <c r="B65" t="s">
        <v>49</v>
      </c>
      <c r="C65" t="s">
        <v>232</v>
      </c>
      <c r="D65" t="s">
        <v>366</v>
      </c>
      <c r="E65" t="s">
        <v>63</v>
      </c>
      <c r="F65">
        <v>4</v>
      </c>
      <c r="G65" t="s">
        <v>367</v>
      </c>
      <c r="H65" t="s">
        <v>790</v>
      </c>
      <c r="I65" t="s">
        <v>201</v>
      </c>
    </row>
    <row r="66" spans="1:9" x14ac:dyDescent="0.3">
      <c r="A66">
        <v>565</v>
      </c>
      <c r="B66" t="s">
        <v>53</v>
      </c>
      <c r="C66" t="s">
        <v>198</v>
      </c>
      <c r="D66" t="s">
        <v>368</v>
      </c>
      <c r="E66" t="s">
        <v>308</v>
      </c>
      <c r="F66">
        <v>9</v>
      </c>
      <c r="G66" t="s">
        <v>369</v>
      </c>
      <c r="H66" t="s">
        <v>791</v>
      </c>
      <c r="I66" t="s">
        <v>205</v>
      </c>
    </row>
    <row r="67" spans="1:9" x14ac:dyDescent="0.3">
      <c r="A67">
        <v>566</v>
      </c>
      <c r="B67" t="s">
        <v>280</v>
      </c>
      <c r="C67" t="s">
        <v>352</v>
      </c>
      <c r="D67" t="s">
        <v>370</v>
      </c>
      <c r="E67" t="s">
        <v>371</v>
      </c>
      <c r="F67">
        <v>4</v>
      </c>
      <c r="G67" t="s">
        <v>372</v>
      </c>
      <c r="H67" t="s">
        <v>792</v>
      </c>
      <c r="I67" t="s">
        <v>205</v>
      </c>
    </row>
    <row r="68" spans="1:9" x14ac:dyDescent="0.3">
      <c r="A68">
        <v>567</v>
      </c>
      <c r="B68" t="s">
        <v>240</v>
      </c>
      <c r="C68" t="s">
        <v>339</v>
      </c>
      <c r="D68" t="s">
        <v>373</v>
      </c>
      <c r="E68" t="s">
        <v>67</v>
      </c>
      <c r="F68">
        <v>5</v>
      </c>
      <c r="G68" t="s">
        <v>374</v>
      </c>
      <c r="H68" t="s">
        <v>793</v>
      </c>
      <c r="I68" t="s">
        <v>205</v>
      </c>
    </row>
    <row r="69" spans="1:9" x14ac:dyDescent="0.3">
      <c r="A69">
        <v>568</v>
      </c>
      <c r="B69" t="s">
        <v>228</v>
      </c>
      <c r="C69" t="s">
        <v>255</v>
      </c>
      <c r="D69" t="s">
        <v>375</v>
      </c>
      <c r="E69" t="s">
        <v>208</v>
      </c>
      <c r="F69">
        <v>2</v>
      </c>
      <c r="G69" t="s">
        <v>376</v>
      </c>
      <c r="H69" t="s">
        <v>794</v>
      </c>
      <c r="I69" t="s">
        <v>201</v>
      </c>
    </row>
    <row r="70" spans="1:9" x14ac:dyDescent="0.3">
      <c r="A70">
        <v>569</v>
      </c>
      <c r="B70" t="s">
        <v>56</v>
      </c>
      <c r="C70" t="s">
        <v>222</v>
      </c>
      <c r="D70" t="s">
        <v>283</v>
      </c>
      <c r="E70" t="s">
        <v>230</v>
      </c>
      <c r="F70">
        <v>10</v>
      </c>
      <c r="G70" t="s">
        <v>377</v>
      </c>
      <c r="H70" t="s">
        <v>795</v>
      </c>
      <c r="I70" t="s">
        <v>205</v>
      </c>
    </row>
    <row r="71" spans="1:9" x14ac:dyDescent="0.3">
      <c r="A71">
        <v>570</v>
      </c>
      <c r="B71" t="s">
        <v>54</v>
      </c>
      <c r="C71" t="s">
        <v>247</v>
      </c>
      <c r="D71" t="s">
        <v>378</v>
      </c>
      <c r="E71" t="s">
        <v>63</v>
      </c>
      <c r="F71">
        <v>7</v>
      </c>
      <c r="G71" t="s">
        <v>379</v>
      </c>
      <c r="H71" t="s">
        <v>796</v>
      </c>
      <c r="I71" t="s">
        <v>210</v>
      </c>
    </row>
    <row r="72" spans="1:9" x14ac:dyDescent="0.3">
      <c r="A72">
        <v>571</v>
      </c>
      <c r="B72" t="s">
        <v>52</v>
      </c>
      <c r="C72" t="s">
        <v>267</v>
      </c>
      <c r="D72" t="s">
        <v>380</v>
      </c>
      <c r="E72" t="s">
        <v>62</v>
      </c>
      <c r="F72">
        <v>4</v>
      </c>
      <c r="G72" t="s">
        <v>381</v>
      </c>
      <c r="H72" t="s">
        <v>797</v>
      </c>
      <c r="I72" t="s">
        <v>205</v>
      </c>
    </row>
    <row r="73" spans="1:9" x14ac:dyDescent="0.3">
      <c r="A73">
        <v>572</v>
      </c>
      <c r="B73" t="s">
        <v>52</v>
      </c>
      <c r="C73" t="s">
        <v>244</v>
      </c>
      <c r="D73" t="s">
        <v>382</v>
      </c>
      <c r="E73" t="s">
        <v>230</v>
      </c>
      <c r="F73">
        <v>9</v>
      </c>
      <c r="G73" t="s">
        <v>383</v>
      </c>
      <c r="H73" t="s">
        <v>798</v>
      </c>
      <c r="I73" t="s">
        <v>205</v>
      </c>
    </row>
    <row r="74" spans="1:9" x14ac:dyDescent="0.3">
      <c r="A74">
        <v>573</v>
      </c>
      <c r="B74" t="s">
        <v>218</v>
      </c>
      <c r="C74" t="s">
        <v>296</v>
      </c>
      <c r="D74" t="s">
        <v>305</v>
      </c>
      <c r="E74" t="s">
        <v>66</v>
      </c>
      <c r="F74">
        <v>1</v>
      </c>
      <c r="G74" t="s">
        <v>344</v>
      </c>
      <c r="H74" t="s">
        <v>799</v>
      </c>
      <c r="I74" t="s">
        <v>201</v>
      </c>
    </row>
    <row r="75" spans="1:9" x14ac:dyDescent="0.3">
      <c r="A75">
        <v>574</v>
      </c>
      <c r="B75" t="s">
        <v>280</v>
      </c>
      <c r="C75" t="s">
        <v>202</v>
      </c>
      <c r="D75" t="s">
        <v>281</v>
      </c>
      <c r="E75" t="s">
        <v>64</v>
      </c>
      <c r="F75">
        <v>1</v>
      </c>
      <c r="G75" t="s">
        <v>384</v>
      </c>
      <c r="H75" t="s">
        <v>800</v>
      </c>
      <c r="I75" t="s">
        <v>210</v>
      </c>
    </row>
    <row r="76" spans="1:9" x14ac:dyDescent="0.3">
      <c r="A76">
        <v>575</v>
      </c>
      <c r="B76" t="s">
        <v>258</v>
      </c>
      <c r="C76" t="s">
        <v>244</v>
      </c>
      <c r="D76" t="s">
        <v>385</v>
      </c>
      <c r="E76" t="s">
        <v>59</v>
      </c>
      <c r="F76">
        <v>4</v>
      </c>
      <c r="G76" t="s">
        <v>386</v>
      </c>
      <c r="H76" t="s">
        <v>801</v>
      </c>
      <c r="I76" t="s">
        <v>205</v>
      </c>
    </row>
    <row r="77" spans="1:9" x14ac:dyDescent="0.3">
      <c r="A77">
        <v>576</v>
      </c>
      <c r="B77" t="s">
        <v>357</v>
      </c>
      <c r="C77" t="s">
        <v>202</v>
      </c>
      <c r="D77" t="s">
        <v>387</v>
      </c>
      <c r="E77" t="s">
        <v>63</v>
      </c>
      <c r="F77">
        <v>5</v>
      </c>
      <c r="G77" t="s">
        <v>388</v>
      </c>
      <c r="H77" t="s">
        <v>802</v>
      </c>
      <c r="I77" t="s">
        <v>210</v>
      </c>
    </row>
    <row r="78" spans="1:9" x14ac:dyDescent="0.3">
      <c r="A78">
        <v>577</v>
      </c>
      <c r="B78" t="s">
        <v>51</v>
      </c>
      <c r="C78" t="s">
        <v>259</v>
      </c>
      <c r="D78" t="s">
        <v>389</v>
      </c>
      <c r="E78" t="s">
        <v>308</v>
      </c>
      <c r="F78">
        <v>10</v>
      </c>
      <c r="G78" t="s">
        <v>390</v>
      </c>
      <c r="H78" t="s">
        <v>803</v>
      </c>
      <c r="I78" t="s">
        <v>201</v>
      </c>
    </row>
    <row r="79" spans="1:9" x14ac:dyDescent="0.3">
      <c r="A79">
        <v>578</v>
      </c>
      <c r="B79" t="s">
        <v>218</v>
      </c>
      <c r="C79" t="s">
        <v>270</v>
      </c>
      <c r="D79" t="s">
        <v>271</v>
      </c>
      <c r="E79" t="s">
        <v>59</v>
      </c>
      <c r="F79">
        <v>1</v>
      </c>
      <c r="G79" t="s">
        <v>391</v>
      </c>
      <c r="H79" t="s">
        <v>804</v>
      </c>
      <c r="I79" t="s">
        <v>205</v>
      </c>
    </row>
    <row r="80" spans="1:9" x14ac:dyDescent="0.3">
      <c r="A80">
        <v>579</v>
      </c>
      <c r="B80" t="s">
        <v>264</v>
      </c>
      <c r="C80" t="s">
        <v>232</v>
      </c>
      <c r="D80" t="s">
        <v>392</v>
      </c>
      <c r="E80" t="s">
        <v>58</v>
      </c>
      <c r="F80">
        <v>10</v>
      </c>
      <c r="G80" t="s">
        <v>393</v>
      </c>
      <c r="H80" t="s">
        <v>805</v>
      </c>
      <c r="I80" t="s">
        <v>201</v>
      </c>
    </row>
    <row r="81" spans="1:9" x14ac:dyDescent="0.3">
      <c r="A81">
        <v>580</v>
      </c>
      <c r="B81" t="s">
        <v>280</v>
      </c>
      <c r="C81" t="s">
        <v>236</v>
      </c>
      <c r="D81" t="s">
        <v>394</v>
      </c>
      <c r="E81" t="s">
        <v>60</v>
      </c>
      <c r="F81">
        <v>10</v>
      </c>
      <c r="G81" t="s">
        <v>395</v>
      </c>
      <c r="H81" t="s">
        <v>806</v>
      </c>
      <c r="I81" t="s">
        <v>205</v>
      </c>
    </row>
    <row r="82" spans="1:9" x14ac:dyDescent="0.3">
      <c r="A82">
        <v>581</v>
      </c>
      <c r="B82" t="s">
        <v>235</v>
      </c>
      <c r="C82" t="s">
        <v>352</v>
      </c>
      <c r="D82" t="s">
        <v>396</v>
      </c>
      <c r="E82" t="s">
        <v>289</v>
      </c>
      <c r="F82">
        <v>6</v>
      </c>
      <c r="G82" t="s">
        <v>397</v>
      </c>
      <c r="H82" t="s">
        <v>807</v>
      </c>
      <c r="I82" t="s">
        <v>205</v>
      </c>
    </row>
    <row r="83" spans="1:9" x14ac:dyDescent="0.3">
      <c r="A83">
        <v>582</v>
      </c>
      <c r="B83" t="s">
        <v>398</v>
      </c>
      <c r="C83" t="s">
        <v>202</v>
      </c>
      <c r="D83" t="s">
        <v>399</v>
      </c>
      <c r="E83" t="s">
        <v>289</v>
      </c>
      <c r="F83">
        <v>4</v>
      </c>
      <c r="G83" t="s">
        <v>400</v>
      </c>
      <c r="H83" t="s">
        <v>808</v>
      </c>
      <c r="I83" t="s">
        <v>205</v>
      </c>
    </row>
    <row r="84" spans="1:9" x14ac:dyDescent="0.3">
      <c r="A84">
        <v>583</v>
      </c>
      <c r="B84" t="s">
        <v>51</v>
      </c>
      <c r="C84" t="s">
        <v>241</v>
      </c>
      <c r="D84" t="s">
        <v>401</v>
      </c>
      <c r="E84" t="s">
        <v>308</v>
      </c>
      <c r="F84">
        <v>4</v>
      </c>
      <c r="G84" t="s">
        <v>402</v>
      </c>
      <c r="H84" t="s">
        <v>809</v>
      </c>
      <c r="I84" t="s">
        <v>210</v>
      </c>
    </row>
    <row r="85" spans="1:9" x14ac:dyDescent="0.3">
      <c r="A85">
        <v>584</v>
      </c>
      <c r="B85" t="s">
        <v>225</v>
      </c>
      <c r="C85" t="s">
        <v>259</v>
      </c>
      <c r="D85" t="s">
        <v>403</v>
      </c>
      <c r="E85" t="s">
        <v>371</v>
      </c>
      <c r="F85">
        <v>1</v>
      </c>
      <c r="G85" t="s">
        <v>404</v>
      </c>
      <c r="H85" t="s">
        <v>810</v>
      </c>
      <c r="I85" t="s">
        <v>201</v>
      </c>
    </row>
    <row r="86" spans="1:9" x14ac:dyDescent="0.3">
      <c r="A86">
        <v>585</v>
      </c>
      <c r="B86" t="s">
        <v>280</v>
      </c>
      <c r="C86" t="s">
        <v>324</v>
      </c>
      <c r="D86" t="s">
        <v>405</v>
      </c>
      <c r="E86" t="s">
        <v>333</v>
      </c>
      <c r="F86">
        <v>2</v>
      </c>
      <c r="G86" t="s">
        <v>406</v>
      </c>
      <c r="H86" t="s">
        <v>811</v>
      </c>
      <c r="I86" t="s">
        <v>201</v>
      </c>
    </row>
    <row r="87" spans="1:9" x14ac:dyDescent="0.3">
      <c r="A87">
        <v>586</v>
      </c>
      <c r="B87" t="s">
        <v>357</v>
      </c>
      <c r="C87" t="s">
        <v>202</v>
      </c>
      <c r="D87" t="s">
        <v>387</v>
      </c>
      <c r="E87" t="s">
        <v>213</v>
      </c>
      <c r="F87">
        <v>7</v>
      </c>
      <c r="G87" t="s">
        <v>407</v>
      </c>
      <c r="H87" t="s">
        <v>812</v>
      </c>
      <c r="I87" t="s">
        <v>201</v>
      </c>
    </row>
    <row r="88" spans="1:9" x14ac:dyDescent="0.3">
      <c r="A88">
        <v>587</v>
      </c>
      <c r="B88" t="s">
        <v>225</v>
      </c>
      <c r="C88" t="s">
        <v>236</v>
      </c>
      <c r="D88" t="s">
        <v>408</v>
      </c>
      <c r="E88" t="s">
        <v>371</v>
      </c>
      <c r="F88">
        <v>9</v>
      </c>
      <c r="G88" t="s">
        <v>409</v>
      </c>
      <c r="H88" t="s">
        <v>813</v>
      </c>
      <c r="I88" t="s">
        <v>210</v>
      </c>
    </row>
    <row r="89" spans="1:9" x14ac:dyDescent="0.3">
      <c r="A89">
        <v>588</v>
      </c>
      <c r="B89" t="s">
        <v>398</v>
      </c>
      <c r="C89" t="s">
        <v>270</v>
      </c>
      <c r="D89" t="s">
        <v>410</v>
      </c>
      <c r="E89" t="s">
        <v>308</v>
      </c>
      <c r="F89">
        <v>1</v>
      </c>
      <c r="G89" t="s">
        <v>411</v>
      </c>
      <c r="H89" t="s">
        <v>814</v>
      </c>
      <c r="I89" t="s">
        <v>210</v>
      </c>
    </row>
    <row r="90" spans="1:9" x14ac:dyDescent="0.3">
      <c r="A90">
        <v>589</v>
      </c>
      <c r="B90" t="s">
        <v>52</v>
      </c>
      <c r="C90" t="s">
        <v>267</v>
      </c>
      <c r="D90" t="s">
        <v>380</v>
      </c>
      <c r="E90" t="s">
        <v>67</v>
      </c>
      <c r="F90">
        <v>2</v>
      </c>
      <c r="G90" t="s">
        <v>412</v>
      </c>
      <c r="H90" t="s">
        <v>815</v>
      </c>
      <c r="I90" t="s">
        <v>210</v>
      </c>
    </row>
    <row r="91" spans="1:9" x14ac:dyDescent="0.3">
      <c r="A91">
        <v>590</v>
      </c>
      <c r="B91" t="s">
        <v>264</v>
      </c>
      <c r="C91" t="s">
        <v>232</v>
      </c>
      <c r="D91" t="s">
        <v>392</v>
      </c>
      <c r="E91" t="s">
        <v>238</v>
      </c>
      <c r="F91">
        <v>8</v>
      </c>
      <c r="G91" t="s">
        <v>413</v>
      </c>
      <c r="H91" t="s">
        <v>816</v>
      </c>
      <c r="I91" t="s">
        <v>201</v>
      </c>
    </row>
    <row r="92" spans="1:9" x14ac:dyDescent="0.3">
      <c r="A92">
        <v>591</v>
      </c>
      <c r="B92" t="s">
        <v>264</v>
      </c>
      <c r="C92" t="s">
        <v>236</v>
      </c>
      <c r="D92" t="s">
        <v>414</v>
      </c>
      <c r="E92" t="s">
        <v>208</v>
      </c>
      <c r="F92">
        <v>1</v>
      </c>
      <c r="G92" t="s">
        <v>415</v>
      </c>
      <c r="H92" t="s">
        <v>817</v>
      </c>
      <c r="I92" t="s">
        <v>201</v>
      </c>
    </row>
    <row r="93" spans="1:9" x14ac:dyDescent="0.3">
      <c r="A93">
        <v>592</v>
      </c>
      <c r="B93" t="s">
        <v>228</v>
      </c>
      <c r="C93" t="s">
        <v>324</v>
      </c>
      <c r="D93" t="s">
        <v>416</v>
      </c>
      <c r="E93" t="s">
        <v>67</v>
      </c>
      <c r="F93">
        <v>9</v>
      </c>
      <c r="G93" t="s">
        <v>417</v>
      </c>
      <c r="H93" t="s">
        <v>818</v>
      </c>
      <c r="I93" t="s">
        <v>210</v>
      </c>
    </row>
    <row r="94" spans="1:9" x14ac:dyDescent="0.3">
      <c r="A94">
        <v>593</v>
      </c>
      <c r="B94" t="s">
        <v>277</v>
      </c>
      <c r="C94" t="s">
        <v>267</v>
      </c>
      <c r="D94" t="s">
        <v>418</v>
      </c>
      <c r="E94" t="s">
        <v>67</v>
      </c>
      <c r="F94">
        <v>1</v>
      </c>
      <c r="G94" t="s">
        <v>419</v>
      </c>
      <c r="H94" t="s">
        <v>819</v>
      </c>
      <c r="I94" t="s">
        <v>205</v>
      </c>
    </row>
    <row r="95" spans="1:9" x14ac:dyDescent="0.3">
      <c r="A95">
        <v>594</v>
      </c>
      <c r="B95" t="s">
        <v>50</v>
      </c>
      <c r="C95" t="s">
        <v>241</v>
      </c>
      <c r="D95" t="s">
        <v>420</v>
      </c>
      <c r="E95" t="s">
        <v>67</v>
      </c>
      <c r="F95">
        <v>3</v>
      </c>
      <c r="G95" t="s">
        <v>421</v>
      </c>
      <c r="H95" t="s">
        <v>820</v>
      </c>
      <c r="I95" t="s">
        <v>201</v>
      </c>
    </row>
    <row r="96" spans="1:9" x14ac:dyDescent="0.3">
      <c r="A96">
        <v>595</v>
      </c>
      <c r="B96" t="s">
        <v>398</v>
      </c>
      <c r="C96" t="s">
        <v>241</v>
      </c>
      <c r="D96" t="s">
        <v>422</v>
      </c>
      <c r="E96" t="s">
        <v>216</v>
      </c>
      <c r="F96">
        <v>1</v>
      </c>
      <c r="G96" t="s">
        <v>423</v>
      </c>
      <c r="H96" t="s">
        <v>821</v>
      </c>
      <c r="I96" t="s">
        <v>201</v>
      </c>
    </row>
    <row r="97" spans="1:9" x14ac:dyDescent="0.3">
      <c r="A97">
        <v>596</v>
      </c>
      <c r="B97" t="s">
        <v>264</v>
      </c>
      <c r="C97" t="s">
        <v>352</v>
      </c>
      <c r="D97" t="s">
        <v>424</v>
      </c>
      <c r="E97" t="s">
        <v>333</v>
      </c>
      <c r="F97">
        <v>5</v>
      </c>
      <c r="G97" t="s">
        <v>425</v>
      </c>
      <c r="H97" t="s">
        <v>822</v>
      </c>
      <c r="I97" t="s">
        <v>201</v>
      </c>
    </row>
    <row r="98" spans="1:9" x14ac:dyDescent="0.3">
      <c r="A98">
        <v>597</v>
      </c>
      <c r="B98" t="s">
        <v>258</v>
      </c>
      <c r="C98" t="s">
        <v>329</v>
      </c>
      <c r="D98" t="s">
        <v>426</v>
      </c>
      <c r="E98" t="s">
        <v>213</v>
      </c>
      <c r="F98">
        <v>1</v>
      </c>
      <c r="G98" t="s">
        <v>427</v>
      </c>
      <c r="H98" t="s">
        <v>823</v>
      </c>
      <c r="I98" t="s">
        <v>210</v>
      </c>
    </row>
    <row r="99" spans="1:9" x14ac:dyDescent="0.3">
      <c r="A99">
        <v>598</v>
      </c>
      <c r="B99" t="s">
        <v>50</v>
      </c>
      <c r="C99" t="s">
        <v>244</v>
      </c>
      <c r="D99" t="s">
        <v>245</v>
      </c>
      <c r="E99" t="s">
        <v>62</v>
      </c>
      <c r="F99">
        <v>2</v>
      </c>
      <c r="G99" t="s">
        <v>428</v>
      </c>
      <c r="H99" t="s">
        <v>824</v>
      </c>
      <c r="I99" t="s">
        <v>205</v>
      </c>
    </row>
    <row r="100" spans="1:9" x14ac:dyDescent="0.3">
      <c r="A100">
        <v>599</v>
      </c>
      <c r="B100" t="s">
        <v>56</v>
      </c>
      <c r="C100" t="s">
        <v>236</v>
      </c>
      <c r="D100" t="s">
        <v>429</v>
      </c>
      <c r="E100" t="s">
        <v>67</v>
      </c>
      <c r="F100">
        <v>7</v>
      </c>
      <c r="G100" t="s">
        <v>430</v>
      </c>
      <c r="H100" t="s">
        <v>825</v>
      </c>
      <c r="I100" t="s">
        <v>210</v>
      </c>
    </row>
    <row r="101" spans="1:9" x14ac:dyDescent="0.3">
      <c r="A101">
        <v>600</v>
      </c>
      <c r="B101" t="s">
        <v>252</v>
      </c>
      <c r="C101" t="s">
        <v>206</v>
      </c>
      <c r="D101" t="s">
        <v>431</v>
      </c>
      <c r="E101" t="s">
        <v>208</v>
      </c>
      <c r="F101">
        <v>8</v>
      </c>
      <c r="G101" t="s">
        <v>432</v>
      </c>
      <c r="H101" t="s">
        <v>826</v>
      </c>
      <c r="I101" t="s">
        <v>210</v>
      </c>
    </row>
    <row r="102" spans="1:9" x14ac:dyDescent="0.3">
      <c r="A102">
        <v>601</v>
      </c>
      <c r="B102" t="s">
        <v>398</v>
      </c>
      <c r="C102" t="s">
        <v>219</v>
      </c>
      <c r="D102" t="s">
        <v>433</v>
      </c>
      <c r="E102" t="s">
        <v>213</v>
      </c>
      <c r="F102">
        <v>8</v>
      </c>
      <c r="G102" t="s">
        <v>434</v>
      </c>
      <c r="H102" t="s">
        <v>827</v>
      </c>
      <c r="I102" t="s">
        <v>210</v>
      </c>
    </row>
    <row r="103" spans="1:9" x14ac:dyDescent="0.3">
      <c r="A103">
        <v>602</v>
      </c>
      <c r="B103" t="s">
        <v>258</v>
      </c>
      <c r="C103" t="s">
        <v>198</v>
      </c>
      <c r="D103" t="s">
        <v>262</v>
      </c>
      <c r="E103" t="s">
        <v>65</v>
      </c>
      <c r="F103">
        <v>4</v>
      </c>
      <c r="G103" t="s">
        <v>435</v>
      </c>
      <c r="H103" t="s">
        <v>828</v>
      </c>
      <c r="I103" t="s">
        <v>210</v>
      </c>
    </row>
    <row r="104" spans="1:9" x14ac:dyDescent="0.3">
      <c r="A104">
        <v>603</v>
      </c>
      <c r="B104" t="s">
        <v>274</v>
      </c>
      <c r="C104" t="s">
        <v>219</v>
      </c>
      <c r="D104" t="s">
        <v>436</v>
      </c>
      <c r="E104" t="s">
        <v>213</v>
      </c>
      <c r="F104">
        <v>2</v>
      </c>
      <c r="G104" t="s">
        <v>437</v>
      </c>
      <c r="H104" t="s">
        <v>829</v>
      </c>
      <c r="I104" t="s">
        <v>205</v>
      </c>
    </row>
    <row r="105" spans="1:9" x14ac:dyDescent="0.3">
      <c r="A105">
        <v>604</v>
      </c>
      <c r="B105" t="s">
        <v>295</v>
      </c>
      <c r="C105" t="s">
        <v>247</v>
      </c>
      <c r="D105" t="s">
        <v>438</v>
      </c>
      <c r="E105" t="s">
        <v>230</v>
      </c>
      <c r="F105">
        <v>8</v>
      </c>
      <c r="G105" t="s">
        <v>439</v>
      </c>
      <c r="H105" t="s">
        <v>830</v>
      </c>
      <c r="I105" t="s">
        <v>205</v>
      </c>
    </row>
    <row r="106" spans="1:9" x14ac:dyDescent="0.3">
      <c r="A106">
        <v>605</v>
      </c>
      <c r="B106" t="s">
        <v>277</v>
      </c>
      <c r="C106" t="s">
        <v>324</v>
      </c>
      <c r="D106" t="s">
        <v>440</v>
      </c>
      <c r="E106" t="s">
        <v>213</v>
      </c>
      <c r="F106">
        <v>5</v>
      </c>
      <c r="G106" t="s">
        <v>441</v>
      </c>
      <c r="H106" t="s">
        <v>831</v>
      </c>
      <c r="I106" t="s">
        <v>205</v>
      </c>
    </row>
    <row r="107" spans="1:9" x14ac:dyDescent="0.3">
      <c r="A107">
        <v>606</v>
      </c>
      <c r="B107" t="s">
        <v>274</v>
      </c>
      <c r="C107" t="s">
        <v>324</v>
      </c>
      <c r="D107" t="s">
        <v>442</v>
      </c>
      <c r="E107" t="s">
        <v>61</v>
      </c>
      <c r="F107">
        <v>10</v>
      </c>
      <c r="G107" t="s">
        <v>443</v>
      </c>
      <c r="H107" t="s">
        <v>832</v>
      </c>
      <c r="I107" t="s">
        <v>205</v>
      </c>
    </row>
    <row r="108" spans="1:9" x14ac:dyDescent="0.3">
      <c r="A108">
        <v>607</v>
      </c>
      <c r="B108" t="s">
        <v>295</v>
      </c>
      <c r="C108" t="s">
        <v>232</v>
      </c>
      <c r="D108" t="s">
        <v>444</v>
      </c>
      <c r="E108" t="s">
        <v>216</v>
      </c>
      <c r="F108">
        <v>6</v>
      </c>
      <c r="G108" t="s">
        <v>445</v>
      </c>
      <c r="H108" t="s">
        <v>833</v>
      </c>
      <c r="I108" t="s">
        <v>201</v>
      </c>
    </row>
    <row r="109" spans="1:9" x14ac:dyDescent="0.3">
      <c r="A109">
        <v>608</v>
      </c>
      <c r="B109" t="s">
        <v>398</v>
      </c>
      <c r="C109" t="s">
        <v>244</v>
      </c>
      <c r="D109" t="s">
        <v>446</v>
      </c>
      <c r="E109" t="s">
        <v>238</v>
      </c>
      <c r="F109">
        <v>2</v>
      </c>
      <c r="G109" t="s">
        <v>447</v>
      </c>
      <c r="H109" t="s">
        <v>834</v>
      </c>
      <c r="I109" t="s">
        <v>210</v>
      </c>
    </row>
    <row r="110" spans="1:9" x14ac:dyDescent="0.3">
      <c r="A110">
        <v>609</v>
      </c>
      <c r="B110" t="s">
        <v>280</v>
      </c>
      <c r="C110" t="s">
        <v>202</v>
      </c>
      <c r="D110" t="s">
        <v>281</v>
      </c>
      <c r="E110" t="s">
        <v>63</v>
      </c>
      <c r="F110">
        <v>8</v>
      </c>
      <c r="G110" t="s">
        <v>448</v>
      </c>
      <c r="H110" t="s">
        <v>835</v>
      </c>
      <c r="I110" t="s">
        <v>210</v>
      </c>
    </row>
    <row r="111" spans="1:9" x14ac:dyDescent="0.3">
      <c r="A111">
        <v>610</v>
      </c>
      <c r="B111" t="s">
        <v>398</v>
      </c>
      <c r="C111" t="s">
        <v>270</v>
      </c>
      <c r="D111" t="s">
        <v>410</v>
      </c>
      <c r="E111" t="s">
        <v>371</v>
      </c>
      <c r="F111">
        <v>3</v>
      </c>
      <c r="G111" t="s">
        <v>411</v>
      </c>
      <c r="H111" t="s">
        <v>836</v>
      </c>
      <c r="I111" t="s">
        <v>201</v>
      </c>
    </row>
    <row r="112" spans="1:9" x14ac:dyDescent="0.3">
      <c r="A112">
        <v>611</v>
      </c>
      <c r="B112" t="s">
        <v>252</v>
      </c>
      <c r="C112" t="s">
        <v>232</v>
      </c>
      <c r="D112" t="s">
        <v>449</v>
      </c>
      <c r="E112" t="s">
        <v>64</v>
      </c>
      <c r="F112">
        <v>7</v>
      </c>
      <c r="G112" t="s">
        <v>450</v>
      </c>
      <c r="H112" t="s">
        <v>837</v>
      </c>
      <c r="I112" t="s">
        <v>201</v>
      </c>
    </row>
    <row r="113" spans="1:9" x14ac:dyDescent="0.3">
      <c r="A113">
        <v>612</v>
      </c>
      <c r="B113" t="s">
        <v>252</v>
      </c>
      <c r="C113" t="s">
        <v>270</v>
      </c>
      <c r="D113" t="s">
        <v>451</v>
      </c>
      <c r="E113" t="s">
        <v>238</v>
      </c>
      <c r="F113">
        <v>3</v>
      </c>
      <c r="G113" t="s">
        <v>452</v>
      </c>
      <c r="H113" t="s">
        <v>838</v>
      </c>
      <c r="I113" t="s">
        <v>210</v>
      </c>
    </row>
    <row r="114" spans="1:9" x14ac:dyDescent="0.3">
      <c r="A114">
        <v>613</v>
      </c>
      <c r="B114" t="s">
        <v>264</v>
      </c>
      <c r="C114" t="s">
        <v>206</v>
      </c>
      <c r="D114" t="s">
        <v>453</v>
      </c>
      <c r="E114" t="s">
        <v>238</v>
      </c>
      <c r="F114">
        <v>5</v>
      </c>
      <c r="G114" t="s">
        <v>454</v>
      </c>
      <c r="H114" t="s">
        <v>839</v>
      </c>
      <c r="I114" t="s">
        <v>201</v>
      </c>
    </row>
    <row r="115" spans="1:9" x14ac:dyDescent="0.3">
      <c r="A115">
        <v>614</v>
      </c>
      <c r="B115" t="s">
        <v>277</v>
      </c>
      <c r="C115" t="s">
        <v>324</v>
      </c>
      <c r="D115" t="s">
        <v>440</v>
      </c>
      <c r="E115" t="s">
        <v>59</v>
      </c>
      <c r="F115">
        <v>4</v>
      </c>
      <c r="G115" t="s">
        <v>441</v>
      </c>
      <c r="H115" t="s">
        <v>840</v>
      </c>
      <c r="I115" t="s">
        <v>205</v>
      </c>
    </row>
    <row r="116" spans="1:9" x14ac:dyDescent="0.3">
      <c r="A116">
        <v>615</v>
      </c>
      <c r="B116" t="s">
        <v>50</v>
      </c>
      <c r="C116" t="s">
        <v>259</v>
      </c>
      <c r="D116" t="s">
        <v>455</v>
      </c>
      <c r="E116" t="s">
        <v>238</v>
      </c>
      <c r="F116">
        <v>3</v>
      </c>
      <c r="G116" t="s">
        <v>456</v>
      </c>
      <c r="H116" t="s">
        <v>841</v>
      </c>
      <c r="I116" t="s">
        <v>205</v>
      </c>
    </row>
    <row r="117" spans="1:9" x14ac:dyDescent="0.3">
      <c r="A117">
        <v>616</v>
      </c>
      <c r="B117" t="s">
        <v>252</v>
      </c>
      <c r="C117" t="s">
        <v>198</v>
      </c>
      <c r="D117" t="s">
        <v>457</v>
      </c>
      <c r="E117" t="s">
        <v>58</v>
      </c>
      <c r="F117">
        <v>7</v>
      </c>
      <c r="G117" t="s">
        <v>458</v>
      </c>
      <c r="H117" t="s">
        <v>842</v>
      </c>
      <c r="I117" t="s">
        <v>205</v>
      </c>
    </row>
    <row r="118" spans="1:9" x14ac:dyDescent="0.3">
      <c r="A118">
        <v>617</v>
      </c>
      <c r="B118" t="s">
        <v>48</v>
      </c>
      <c r="C118" t="s">
        <v>236</v>
      </c>
      <c r="D118" t="s">
        <v>459</v>
      </c>
      <c r="E118" t="s">
        <v>213</v>
      </c>
      <c r="F118">
        <v>4</v>
      </c>
      <c r="G118" t="s">
        <v>460</v>
      </c>
      <c r="H118" t="s">
        <v>843</v>
      </c>
      <c r="I118" t="s">
        <v>205</v>
      </c>
    </row>
    <row r="119" spans="1:9" x14ac:dyDescent="0.3">
      <c r="A119">
        <v>618</v>
      </c>
      <c r="B119" t="s">
        <v>240</v>
      </c>
      <c r="C119" t="s">
        <v>255</v>
      </c>
      <c r="D119" t="s">
        <v>461</v>
      </c>
      <c r="E119" t="s">
        <v>66</v>
      </c>
      <c r="F119">
        <v>1</v>
      </c>
      <c r="G119" t="s">
        <v>462</v>
      </c>
      <c r="H119" t="s">
        <v>844</v>
      </c>
      <c r="I119" t="s">
        <v>205</v>
      </c>
    </row>
    <row r="120" spans="1:9" x14ac:dyDescent="0.3">
      <c r="A120">
        <v>619</v>
      </c>
      <c r="B120" t="s">
        <v>53</v>
      </c>
      <c r="C120" t="s">
        <v>296</v>
      </c>
      <c r="D120" t="s">
        <v>463</v>
      </c>
      <c r="E120" t="s">
        <v>371</v>
      </c>
      <c r="F120">
        <v>5</v>
      </c>
      <c r="G120" t="s">
        <v>464</v>
      </c>
      <c r="H120" t="s">
        <v>845</v>
      </c>
      <c r="I120" t="s">
        <v>201</v>
      </c>
    </row>
    <row r="121" spans="1:9" x14ac:dyDescent="0.3">
      <c r="A121">
        <v>620</v>
      </c>
      <c r="B121" t="s">
        <v>264</v>
      </c>
      <c r="C121" t="s">
        <v>222</v>
      </c>
      <c r="D121" t="s">
        <v>465</v>
      </c>
      <c r="E121" t="s">
        <v>65</v>
      </c>
      <c r="F121">
        <v>1</v>
      </c>
      <c r="G121" t="s">
        <v>466</v>
      </c>
      <c r="H121" t="s">
        <v>846</v>
      </c>
      <c r="I121" t="s">
        <v>201</v>
      </c>
    </row>
    <row r="122" spans="1:9" x14ac:dyDescent="0.3">
      <c r="A122">
        <v>621</v>
      </c>
      <c r="B122" t="s">
        <v>52</v>
      </c>
      <c r="C122" t="s">
        <v>244</v>
      </c>
      <c r="D122" t="s">
        <v>382</v>
      </c>
      <c r="E122" t="s">
        <v>216</v>
      </c>
      <c r="F122">
        <v>2</v>
      </c>
      <c r="G122" t="s">
        <v>383</v>
      </c>
      <c r="H122" t="s">
        <v>847</v>
      </c>
      <c r="I122" t="s">
        <v>205</v>
      </c>
    </row>
    <row r="123" spans="1:9" x14ac:dyDescent="0.3">
      <c r="A123">
        <v>622</v>
      </c>
      <c r="B123" t="s">
        <v>225</v>
      </c>
      <c r="C123" t="s">
        <v>267</v>
      </c>
      <c r="D123" t="s">
        <v>467</v>
      </c>
      <c r="E123" t="s">
        <v>308</v>
      </c>
      <c r="F123">
        <v>9</v>
      </c>
      <c r="G123" t="s">
        <v>468</v>
      </c>
      <c r="H123" t="s">
        <v>848</v>
      </c>
      <c r="I123" t="s">
        <v>205</v>
      </c>
    </row>
    <row r="124" spans="1:9" x14ac:dyDescent="0.3">
      <c r="A124">
        <v>623</v>
      </c>
      <c r="B124" t="s">
        <v>55</v>
      </c>
      <c r="C124" t="s">
        <v>222</v>
      </c>
      <c r="D124" t="s">
        <v>469</v>
      </c>
      <c r="E124" t="s">
        <v>64</v>
      </c>
      <c r="F124">
        <v>7</v>
      </c>
      <c r="G124" t="s">
        <v>470</v>
      </c>
      <c r="H124" t="s">
        <v>849</v>
      </c>
      <c r="I124" t="s">
        <v>210</v>
      </c>
    </row>
    <row r="125" spans="1:9" x14ac:dyDescent="0.3">
      <c r="A125">
        <v>624</v>
      </c>
      <c r="B125" t="s">
        <v>471</v>
      </c>
      <c r="C125" t="s">
        <v>267</v>
      </c>
      <c r="D125" t="s">
        <v>472</v>
      </c>
      <c r="E125" t="s">
        <v>67</v>
      </c>
      <c r="F125">
        <v>10</v>
      </c>
      <c r="G125" t="s">
        <v>473</v>
      </c>
      <c r="H125" t="s">
        <v>850</v>
      </c>
      <c r="I125" t="s">
        <v>201</v>
      </c>
    </row>
    <row r="126" spans="1:9" x14ac:dyDescent="0.3">
      <c r="A126">
        <v>625</v>
      </c>
      <c r="B126" t="s">
        <v>264</v>
      </c>
      <c r="C126" t="s">
        <v>324</v>
      </c>
      <c r="D126" t="s">
        <v>474</v>
      </c>
      <c r="E126" t="s">
        <v>208</v>
      </c>
      <c r="F126">
        <v>9</v>
      </c>
      <c r="G126" t="s">
        <v>475</v>
      </c>
      <c r="H126" t="s">
        <v>851</v>
      </c>
      <c r="I126" t="s">
        <v>205</v>
      </c>
    </row>
    <row r="127" spans="1:9" x14ac:dyDescent="0.3">
      <c r="A127">
        <v>626</v>
      </c>
      <c r="B127" t="s">
        <v>49</v>
      </c>
      <c r="C127" t="s">
        <v>324</v>
      </c>
      <c r="D127" t="s">
        <v>476</v>
      </c>
      <c r="E127" t="s">
        <v>208</v>
      </c>
      <c r="F127">
        <v>10</v>
      </c>
      <c r="G127" t="s">
        <v>477</v>
      </c>
      <c r="H127" t="s">
        <v>852</v>
      </c>
      <c r="I127" t="s">
        <v>205</v>
      </c>
    </row>
    <row r="128" spans="1:9" x14ac:dyDescent="0.3">
      <c r="A128">
        <v>627</v>
      </c>
      <c r="B128" t="s">
        <v>274</v>
      </c>
      <c r="C128" t="s">
        <v>241</v>
      </c>
      <c r="D128" t="s">
        <v>478</v>
      </c>
      <c r="E128" t="s">
        <v>65</v>
      </c>
      <c r="F128">
        <v>1</v>
      </c>
      <c r="G128" t="s">
        <v>479</v>
      </c>
      <c r="H128" t="s">
        <v>853</v>
      </c>
      <c r="I128" t="s">
        <v>210</v>
      </c>
    </row>
    <row r="129" spans="1:9" x14ac:dyDescent="0.3">
      <c r="A129">
        <v>628</v>
      </c>
      <c r="B129" t="s">
        <v>54</v>
      </c>
      <c r="C129" t="s">
        <v>267</v>
      </c>
      <c r="D129" t="s">
        <v>480</v>
      </c>
      <c r="E129" t="s">
        <v>66</v>
      </c>
      <c r="F129">
        <v>1</v>
      </c>
      <c r="G129" t="s">
        <v>481</v>
      </c>
      <c r="H129" t="s">
        <v>854</v>
      </c>
      <c r="I129" t="s">
        <v>201</v>
      </c>
    </row>
    <row r="130" spans="1:9" x14ac:dyDescent="0.3">
      <c r="A130">
        <v>629</v>
      </c>
      <c r="B130" t="s">
        <v>49</v>
      </c>
      <c r="C130" t="s">
        <v>236</v>
      </c>
      <c r="D130" t="s">
        <v>482</v>
      </c>
      <c r="E130" t="s">
        <v>308</v>
      </c>
      <c r="F130">
        <v>4</v>
      </c>
      <c r="G130" t="s">
        <v>483</v>
      </c>
      <c r="H130" t="s">
        <v>855</v>
      </c>
      <c r="I130" t="s">
        <v>201</v>
      </c>
    </row>
    <row r="131" spans="1:9" x14ac:dyDescent="0.3">
      <c r="A131">
        <v>630</v>
      </c>
      <c r="B131" t="s">
        <v>54</v>
      </c>
      <c r="C131" t="s">
        <v>324</v>
      </c>
      <c r="D131" t="s">
        <v>484</v>
      </c>
      <c r="E131" t="s">
        <v>66</v>
      </c>
      <c r="F131">
        <v>2</v>
      </c>
      <c r="G131" t="s">
        <v>485</v>
      </c>
      <c r="H131" t="s">
        <v>856</v>
      </c>
      <c r="I131" t="s">
        <v>205</v>
      </c>
    </row>
    <row r="132" spans="1:9" x14ac:dyDescent="0.3">
      <c r="A132">
        <v>631</v>
      </c>
      <c r="B132" t="s">
        <v>398</v>
      </c>
      <c r="C132" t="s">
        <v>202</v>
      </c>
      <c r="D132" t="s">
        <v>399</v>
      </c>
      <c r="E132" t="s">
        <v>333</v>
      </c>
      <c r="F132">
        <v>9</v>
      </c>
      <c r="G132" t="s">
        <v>486</v>
      </c>
      <c r="H132" t="s">
        <v>857</v>
      </c>
      <c r="I132" t="s">
        <v>205</v>
      </c>
    </row>
    <row r="133" spans="1:9" x14ac:dyDescent="0.3">
      <c r="A133">
        <v>632</v>
      </c>
      <c r="B133" t="s">
        <v>225</v>
      </c>
      <c r="C133" t="s">
        <v>255</v>
      </c>
      <c r="D133" t="s">
        <v>487</v>
      </c>
      <c r="E133" t="s">
        <v>61</v>
      </c>
      <c r="F133">
        <v>5</v>
      </c>
      <c r="G133" t="s">
        <v>488</v>
      </c>
      <c r="H133" t="s">
        <v>858</v>
      </c>
      <c r="I133" t="s">
        <v>205</v>
      </c>
    </row>
    <row r="134" spans="1:9" x14ac:dyDescent="0.3">
      <c r="A134">
        <v>633</v>
      </c>
      <c r="B134" t="s">
        <v>285</v>
      </c>
      <c r="C134" t="s">
        <v>267</v>
      </c>
      <c r="D134" t="s">
        <v>489</v>
      </c>
      <c r="E134" t="s">
        <v>67</v>
      </c>
      <c r="F134">
        <v>9</v>
      </c>
      <c r="G134" t="s">
        <v>490</v>
      </c>
      <c r="H134" t="s">
        <v>859</v>
      </c>
      <c r="I134" t="s">
        <v>205</v>
      </c>
    </row>
    <row r="135" spans="1:9" x14ac:dyDescent="0.3">
      <c r="A135">
        <v>634</v>
      </c>
      <c r="B135" t="s">
        <v>277</v>
      </c>
      <c r="C135" t="s">
        <v>324</v>
      </c>
      <c r="D135" t="s">
        <v>440</v>
      </c>
      <c r="E135" t="s">
        <v>333</v>
      </c>
      <c r="F135">
        <v>7</v>
      </c>
      <c r="G135" t="s">
        <v>491</v>
      </c>
      <c r="H135" t="s">
        <v>860</v>
      </c>
      <c r="I135" t="s">
        <v>205</v>
      </c>
    </row>
    <row r="136" spans="1:9" x14ac:dyDescent="0.3">
      <c r="A136">
        <v>635</v>
      </c>
      <c r="B136" t="s">
        <v>48</v>
      </c>
      <c r="C136" t="s">
        <v>241</v>
      </c>
      <c r="D136" t="s">
        <v>492</v>
      </c>
      <c r="E136" t="s">
        <v>67</v>
      </c>
      <c r="F136">
        <v>2</v>
      </c>
      <c r="G136" t="s">
        <v>493</v>
      </c>
      <c r="H136" t="s">
        <v>861</v>
      </c>
      <c r="I136" t="s">
        <v>210</v>
      </c>
    </row>
    <row r="137" spans="1:9" x14ac:dyDescent="0.3">
      <c r="A137">
        <v>636</v>
      </c>
      <c r="B137" t="s">
        <v>285</v>
      </c>
      <c r="C137" t="s">
        <v>202</v>
      </c>
      <c r="D137" t="s">
        <v>494</v>
      </c>
      <c r="E137" t="s">
        <v>67</v>
      </c>
      <c r="F137">
        <v>5</v>
      </c>
      <c r="G137" t="s">
        <v>495</v>
      </c>
      <c r="H137" t="s">
        <v>862</v>
      </c>
      <c r="I137" t="s">
        <v>210</v>
      </c>
    </row>
    <row r="138" spans="1:9" x14ac:dyDescent="0.3">
      <c r="A138">
        <v>637</v>
      </c>
      <c r="B138" t="s">
        <v>55</v>
      </c>
      <c r="C138" t="s">
        <v>206</v>
      </c>
      <c r="D138" t="s">
        <v>207</v>
      </c>
      <c r="E138" t="s">
        <v>216</v>
      </c>
      <c r="F138">
        <v>7</v>
      </c>
      <c r="G138" t="s">
        <v>209</v>
      </c>
      <c r="H138" t="s">
        <v>863</v>
      </c>
      <c r="I138" t="s">
        <v>210</v>
      </c>
    </row>
    <row r="139" spans="1:9" x14ac:dyDescent="0.3">
      <c r="A139">
        <v>638</v>
      </c>
      <c r="B139" t="s">
        <v>258</v>
      </c>
      <c r="C139" t="s">
        <v>296</v>
      </c>
      <c r="D139" t="s">
        <v>496</v>
      </c>
      <c r="E139" t="s">
        <v>60</v>
      </c>
      <c r="F139">
        <v>2</v>
      </c>
      <c r="G139" t="s">
        <v>497</v>
      </c>
      <c r="H139" t="s">
        <v>864</v>
      </c>
      <c r="I139" t="s">
        <v>201</v>
      </c>
    </row>
    <row r="140" spans="1:9" x14ac:dyDescent="0.3">
      <c r="A140">
        <v>639</v>
      </c>
      <c r="B140" t="s">
        <v>280</v>
      </c>
      <c r="C140" t="s">
        <v>270</v>
      </c>
      <c r="D140" t="s">
        <v>316</v>
      </c>
      <c r="E140" t="s">
        <v>63</v>
      </c>
      <c r="F140">
        <v>1</v>
      </c>
      <c r="G140" t="s">
        <v>498</v>
      </c>
      <c r="H140" t="s">
        <v>865</v>
      </c>
      <c r="I140" t="s">
        <v>201</v>
      </c>
    </row>
    <row r="141" spans="1:9" x14ac:dyDescent="0.3">
      <c r="A141">
        <v>640</v>
      </c>
      <c r="B141" t="s">
        <v>274</v>
      </c>
      <c r="C141" t="s">
        <v>255</v>
      </c>
      <c r="D141" t="s">
        <v>499</v>
      </c>
      <c r="E141" t="s">
        <v>62</v>
      </c>
      <c r="F141">
        <v>7</v>
      </c>
      <c r="G141" t="s">
        <v>500</v>
      </c>
      <c r="H141" t="s">
        <v>866</v>
      </c>
      <c r="I141" t="s">
        <v>210</v>
      </c>
    </row>
    <row r="142" spans="1:9" x14ac:dyDescent="0.3">
      <c r="A142">
        <v>641</v>
      </c>
      <c r="B142" t="s">
        <v>277</v>
      </c>
      <c r="C142" t="s">
        <v>329</v>
      </c>
      <c r="D142" t="s">
        <v>501</v>
      </c>
      <c r="E142" t="s">
        <v>67</v>
      </c>
      <c r="F142">
        <v>5</v>
      </c>
      <c r="G142" t="s">
        <v>502</v>
      </c>
      <c r="H142" t="s">
        <v>867</v>
      </c>
      <c r="I142" t="s">
        <v>205</v>
      </c>
    </row>
    <row r="143" spans="1:9" x14ac:dyDescent="0.3">
      <c r="A143">
        <v>642</v>
      </c>
      <c r="B143" t="s">
        <v>54</v>
      </c>
      <c r="C143" t="s">
        <v>296</v>
      </c>
      <c r="D143" t="s">
        <v>503</v>
      </c>
      <c r="E143" t="s">
        <v>67</v>
      </c>
      <c r="F143">
        <v>3</v>
      </c>
      <c r="G143" t="s">
        <v>504</v>
      </c>
      <c r="H143" t="s">
        <v>868</v>
      </c>
      <c r="I143" t="s">
        <v>210</v>
      </c>
    </row>
    <row r="144" spans="1:9" x14ac:dyDescent="0.3">
      <c r="A144">
        <v>643</v>
      </c>
      <c r="B144" t="s">
        <v>50</v>
      </c>
      <c r="C144" t="s">
        <v>270</v>
      </c>
      <c r="D144" t="s">
        <v>505</v>
      </c>
      <c r="E144" t="s">
        <v>289</v>
      </c>
      <c r="F144">
        <v>6</v>
      </c>
      <c r="G144" t="s">
        <v>506</v>
      </c>
      <c r="H144" t="s">
        <v>869</v>
      </c>
      <c r="I144" t="s">
        <v>205</v>
      </c>
    </row>
    <row r="145" spans="1:9" x14ac:dyDescent="0.3">
      <c r="A145">
        <v>644</v>
      </c>
      <c r="B145" t="s">
        <v>49</v>
      </c>
      <c r="C145" t="s">
        <v>247</v>
      </c>
      <c r="D145" t="s">
        <v>248</v>
      </c>
      <c r="E145" t="s">
        <v>65</v>
      </c>
      <c r="F145">
        <v>9</v>
      </c>
      <c r="G145" t="s">
        <v>507</v>
      </c>
      <c r="H145" t="s">
        <v>870</v>
      </c>
      <c r="I145" t="s">
        <v>210</v>
      </c>
    </row>
    <row r="146" spans="1:9" x14ac:dyDescent="0.3">
      <c r="A146">
        <v>645</v>
      </c>
      <c r="B146" t="s">
        <v>51</v>
      </c>
      <c r="C146" t="s">
        <v>296</v>
      </c>
      <c r="D146" t="s">
        <v>508</v>
      </c>
      <c r="E146" t="s">
        <v>333</v>
      </c>
      <c r="F146">
        <v>9</v>
      </c>
      <c r="G146" t="s">
        <v>509</v>
      </c>
      <c r="H146" t="s">
        <v>871</v>
      </c>
      <c r="I146" t="s">
        <v>201</v>
      </c>
    </row>
    <row r="147" spans="1:9" x14ac:dyDescent="0.3">
      <c r="A147">
        <v>646</v>
      </c>
      <c r="B147" t="s">
        <v>258</v>
      </c>
      <c r="C147" t="s">
        <v>270</v>
      </c>
      <c r="D147" t="s">
        <v>510</v>
      </c>
      <c r="E147" t="s">
        <v>213</v>
      </c>
      <c r="F147">
        <v>5</v>
      </c>
      <c r="G147" t="s">
        <v>511</v>
      </c>
      <c r="H147" t="s">
        <v>872</v>
      </c>
      <c r="I147" t="s">
        <v>210</v>
      </c>
    </row>
    <row r="148" spans="1:9" x14ac:dyDescent="0.3">
      <c r="A148">
        <v>647</v>
      </c>
      <c r="B148" t="s">
        <v>57</v>
      </c>
      <c r="C148" t="s">
        <v>244</v>
      </c>
      <c r="D148" t="s">
        <v>512</v>
      </c>
      <c r="E148" t="s">
        <v>213</v>
      </c>
      <c r="F148">
        <v>9</v>
      </c>
      <c r="G148" t="s">
        <v>513</v>
      </c>
      <c r="H148" t="s">
        <v>873</v>
      </c>
      <c r="I148" t="s">
        <v>210</v>
      </c>
    </row>
    <row r="149" spans="1:9" x14ac:dyDescent="0.3">
      <c r="A149">
        <v>648</v>
      </c>
      <c r="B149" t="s">
        <v>50</v>
      </c>
      <c r="C149" t="s">
        <v>198</v>
      </c>
      <c r="D149" t="s">
        <v>199</v>
      </c>
      <c r="E149" t="s">
        <v>58</v>
      </c>
      <c r="F149">
        <v>10</v>
      </c>
      <c r="G149" t="s">
        <v>514</v>
      </c>
      <c r="H149" t="s">
        <v>874</v>
      </c>
      <c r="I149" t="s">
        <v>201</v>
      </c>
    </row>
    <row r="150" spans="1:9" x14ac:dyDescent="0.3">
      <c r="A150">
        <v>649</v>
      </c>
      <c r="B150" t="s">
        <v>357</v>
      </c>
      <c r="C150" t="s">
        <v>202</v>
      </c>
      <c r="D150" t="s">
        <v>387</v>
      </c>
      <c r="E150" t="s">
        <v>63</v>
      </c>
      <c r="F150">
        <v>1</v>
      </c>
      <c r="G150" t="s">
        <v>515</v>
      </c>
      <c r="H150" t="s">
        <v>875</v>
      </c>
      <c r="I150" t="s">
        <v>210</v>
      </c>
    </row>
    <row r="151" spans="1:9" x14ac:dyDescent="0.3">
      <c r="A151">
        <v>650</v>
      </c>
      <c r="B151" t="s">
        <v>398</v>
      </c>
      <c r="C151" t="s">
        <v>232</v>
      </c>
      <c r="D151" t="s">
        <v>516</v>
      </c>
      <c r="E151" t="s">
        <v>58</v>
      </c>
      <c r="F151">
        <v>7</v>
      </c>
      <c r="G151" t="s">
        <v>517</v>
      </c>
      <c r="H151" t="s">
        <v>876</v>
      </c>
      <c r="I151" t="s">
        <v>201</v>
      </c>
    </row>
    <row r="152" spans="1:9" x14ac:dyDescent="0.3">
      <c r="A152">
        <v>651</v>
      </c>
      <c r="B152" t="s">
        <v>218</v>
      </c>
      <c r="C152" t="s">
        <v>219</v>
      </c>
      <c r="D152" t="s">
        <v>220</v>
      </c>
      <c r="E152" t="s">
        <v>238</v>
      </c>
      <c r="F152">
        <v>7</v>
      </c>
      <c r="G152" t="s">
        <v>221</v>
      </c>
      <c r="H152" t="s">
        <v>877</v>
      </c>
      <c r="I152" t="s">
        <v>205</v>
      </c>
    </row>
    <row r="153" spans="1:9" x14ac:dyDescent="0.3">
      <c r="A153">
        <v>652</v>
      </c>
      <c r="B153" t="s">
        <v>264</v>
      </c>
      <c r="C153" t="s">
        <v>232</v>
      </c>
      <c r="D153" t="s">
        <v>392</v>
      </c>
      <c r="E153" t="s">
        <v>62</v>
      </c>
      <c r="F153">
        <v>9</v>
      </c>
      <c r="G153" t="s">
        <v>518</v>
      </c>
      <c r="H153" t="s">
        <v>878</v>
      </c>
      <c r="I153" t="s">
        <v>201</v>
      </c>
    </row>
    <row r="154" spans="1:9" x14ac:dyDescent="0.3">
      <c r="A154">
        <v>653</v>
      </c>
      <c r="B154" t="s">
        <v>57</v>
      </c>
      <c r="C154" t="s">
        <v>352</v>
      </c>
      <c r="D154" t="s">
        <v>519</v>
      </c>
      <c r="E154" t="s">
        <v>216</v>
      </c>
      <c r="F154">
        <v>7</v>
      </c>
      <c r="G154" t="s">
        <v>520</v>
      </c>
      <c r="H154" t="s">
        <v>879</v>
      </c>
      <c r="I154" t="s">
        <v>201</v>
      </c>
    </row>
    <row r="155" spans="1:9" x14ac:dyDescent="0.3">
      <c r="A155">
        <v>654</v>
      </c>
      <c r="B155" t="s">
        <v>228</v>
      </c>
      <c r="C155" t="s">
        <v>206</v>
      </c>
      <c r="D155" t="s">
        <v>521</v>
      </c>
      <c r="E155" t="s">
        <v>67</v>
      </c>
      <c r="F155">
        <v>4</v>
      </c>
      <c r="G155" t="s">
        <v>522</v>
      </c>
      <c r="H155" t="s">
        <v>880</v>
      </c>
      <c r="I155" t="s">
        <v>210</v>
      </c>
    </row>
    <row r="156" spans="1:9" x14ac:dyDescent="0.3">
      <c r="A156">
        <v>655</v>
      </c>
      <c r="B156" t="s">
        <v>235</v>
      </c>
      <c r="C156" t="s">
        <v>324</v>
      </c>
      <c r="D156" t="s">
        <v>523</v>
      </c>
      <c r="E156" t="s">
        <v>58</v>
      </c>
      <c r="F156">
        <v>8</v>
      </c>
      <c r="G156" t="s">
        <v>524</v>
      </c>
      <c r="H156" t="s">
        <v>881</v>
      </c>
      <c r="I156" t="s">
        <v>201</v>
      </c>
    </row>
    <row r="157" spans="1:9" x14ac:dyDescent="0.3">
      <c r="A157">
        <v>656</v>
      </c>
      <c r="B157" t="s">
        <v>277</v>
      </c>
      <c r="C157" t="s">
        <v>267</v>
      </c>
      <c r="D157" t="s">
        <v>418</v>
      </c>
      <c r="E157" t="s">
        <v>62</v>
      </c>
      <c r="F157">
        <v>8</v>
      </c>
      <c r="G157" t="s">
        <v>525</v>
      </c>
      <c r="H157" t="s">
        <v>882</v>
      </c>
      <c r="I157" t="s">
        <v>201</v>
      </c>
    </row>
    <row r="158" spans="1:9" x14ac:dyDescent="0.3">
      <c r="A158">
        <v>657</v>
      </c>
      <c r="B158" t="s">
        <v>357</v>
      </c>
      <c r="C158" t="s">
        <v>211</v>
      </c>
      <c r="D158" t="s">
        <v>526</v>
      </c>
      <c r="E158" t="s">
        <v>333</v>
      </c>
      <c r="F158">
        <v>10</v>
      </c>
      <c r="G158" t="s">
        <v>527</v>
      </c>
      <c r="H158" t="s">
        <v>883</v>
      </c>
      <c r="I158" t="s">
        <v>201</v>
      </c>
    </row>
    <row r="159" spans="1:9" x14ac:dyDescent="0.3">
      <c r="A159">
        <v>658</v>
      </c>
      <c r="B159" t="s">
        <v>225</v>
      </c>
      <c r="C159" t="s">
        <v>329</v>
      </c>
      <c r="D159" t="s">
        <v>528</v>
      </c>
      <c r="E159" t="s">
        <v>66</v>
      </c>
      <c r="F159">
        <v>4</v>
      </c>
      <c r="G159" t="s">
        <v>529</v>
      </c>
      <c r="H159" t="s">
        <v>884</v>
      </c>
      <c r="I159" t="s">
        <v>210</v>
      </c>
    </row>
    <row r="160" spans="1:9" x14ac:dyDescent="0.3">
      <c r="A160">
        <v>659</v>
      </c>
      <c r="B160" t="s">
        <v>357</v>
      </c>
      <c r="C160" t="s">
        <v>219</v>
      </c>
      <c r="D160" t="s">
        <v>530</v>
      </c>
      <c r="E160" t="s">
        <v>61</v>
      </c>
      <c r="F160">
        <v>10</v>
      </c>
      <c r="G160" t="s">
        <v>531</v>
      </c>
      <c r="H160" t="s">
        <v>885</v>
      </c>
      <c r="I160" t="s">
        <v>205</v>
      </c>
    </row>
    <row r="161" spans="1:9" x14ac:dyDescent="0.3">
      <c r="A161">
        <v>660</v>
      </c>
      <c r="B161" t="s">
        <v>252</v>
      </c>
      <c r="C161" t="s">
        <v>324</v>
      </c>
      <c r="D161" t="s">
        <v>532</v>
      </c>
      <c r="E161" t="s">
        <v>213</v>
      </c>
      <c r="F161">
        <v>1</v>
      </c>
      <c r="G161" t="s">
        <v>533</v>
      </c>
      <c r="H161" t="s">
        <v>886</v>
      </c>
      <c r="I161" t="s">
        <v>205</v>
      </c>
    </row>
    <row r="162" spans="1:9" x14ac:dyDescent="0.3">
      <c r="A162">
        <v>661</v>
      </c>
      <c r="B162" t="s">
        <v>471</v>
      </c>
      <c r="C162" t="s">
        <v>241</v>
      </c>
      <c r="D162" t="s">
        <v>534</v>
      </c>
      <c r="E162" t="s">
        <v>65</v>
      </c>
      <c r="F162">
        <v>8</v>
      </c>
      <c r="G162" t="s">
        <v>535</v>
      </c>
      <c r="H162" t="s">
        <v>887</v>
      </c>
      <c r="I162" t="s">
        <v>201</v>
      </c>
    </row>
    <row r="163" spans="1:9" x14ac:dyDescent="0.3">
      <c r="A163">
        <v>662</v>
      </c>
      <c r="B163" t="s">
        <v>51</v>
      </c>
      <c r="C163" t="s">
        <v>244</v>
      </c>
      <c r="D163" t="s">
        <v>536</v>
      </c>
      <c r="E163" t="s">
        <v>66</v>
      </c>
      <c r="F163">
        <v>9</v>
      </c>
      <c r="G163" t="s">
        <v>537</v>
      </c>
      <c r="H163" t="s">
        <v>888</v>
      </c>
      <c r="I163" t="s">
        <v>205</v>
      </c>
    </row>
    <row r="164" spans="1:9" x14ac:dyDescent="0.3">
      <c r="A164">
        <v>663</v>
      </c>
      <c r="B164" t="s">
        <v>228</v>
      </c>
      <c r="C164" t="s">
        <v>244</v>
      </c>
      <c r="D164" t="s">
        <v>538</v>
      </c>
      <c r="E164" t="s">
        <v>371</v>
      </c>
      <c r="F164">
        <v>3</v>
      </c>
      <c r="G164" t="s">
        <v>539</v>
      </c>
      <c r="H164" t="s">
        <v>889</v>
      </c>
      <c r="I164" t="s">
        <v>205</v>
      </c>
    </row>
    <row r="165" spans="1:9" x14ac:dyDescent="0.3">
      <c r="A165">
        <v>664</v>
      </c>
      <c r="B165" t="s">
        <v>258</v>
      </c>
      <c r="C165" t="s">
        <v>255</v>
      </c>
      <c r="D165" t="s">
        <v>540</v>
      </c>
      <c r="E165" t="s">
        <v>238</v>
      </c>
      <c r="F165">
        <v>9</v>
      </c>
      <c r="G165" t="s">
        <v>541</v>
      </c>
      <c r="H165" t="s">
        <v>890</v>
      </c>
      <c r="I165" t="s">
        <v>201</v>
      </c>
    </row>
    <row r="166" spans="1:9" x14ac:dyDescent="0.3">
      <c r="A166">
        <v>665</v>
      </c>
      <c r="B166" t="s">
        <v>53</v>
      </c>
      <c r="C166" t="s">
        <v>352</v>
      </c>
      <c r="D166" t="s">
        <v>542</v>
      </c>
      <c r="E166" t="s">
        <v>371</v>
      </c>
      <c r="F166">
        <v>4</v>
      </c>
      <c r="G166" t="s">
        <v>543</v>
      </c>
      <c r="H166" t="s">
        <v>891</v>
      </c>
      <c r="I166" t="s">
        <v>201</v>
      </c>
    </row>
    <row r="167" spans="1:9" x14ac:dyDescent="0.3">
      <c r="A167">
        <v>666</v>
      </c>
      <c r="B167" t="s">
        <v>235</v>
      </c>
      <c r="C167" t="s">
        <v>241</v>
      </c>
      <c r="D167" t="s">
        <v>544</v>
      </c>
      <c r="E167" t="s">
        <v>238</v>
      </c>
      <c r="F167">
        <v>1</v>
      </c>
      <c r="G167" t="s">
        <v>545</v>
      </c>
      <c r="H167" t="s">
        <v>892</v>
      </c>
      <c r="I167" t="s">
        <v>205</v>
      </c>
    </row>
    <row r="168" spans="1:9" x14ac:dyDescent="0.3">
      <c r="A168">
        <v>667</v>
      </c>
      <c r="B168" t="s">
        <v>280</v>
      </c>
      <c r="C168" t="s">
        <v>324</v>
      </c>
      <c r="D168" t="s">
        <v>405</v>
      </c>
      <c r="E168" t="s">
        <v>308</v>
      </c>
      <c r="F168">
        <v>6</v>
      </c>
      <c r="G168" t="s">
        <v>546</v>
      </c>
      <c r="H168" t="s">
        <v>893</v>
      </c>
      <c r="I168" t="s">
        <v>210</v>
      </c>
    </row>
    <row r="169" spans="1:9" x14ac:dyDescent="0.3">
      <c r="A169">
        <v>668</v>
      </c>
      <c r="B169" t="s">
        <v>53</v>
      </c>
      <c r="C169" t="s">
        <v>267</v>
      </c>
      <c r="D169" t="s">
        <v>547</v>
      </c>
      <c r="E169" t="s">
        <v>61</v>
      </c>
      <c r="F169">
        <v>2</v>
      </c>
      <c r="G169" t="s">
        <v>548</v>
      </c>
      <c r="H169" t="s">
        <v>894</v>
      </c>
      <c r="I169" t="s">
        <v>210</v>
      </c>
    </row>
    <row r="170" spans="1:9" x14ac:dyDescent="0.3">
      <c r="A170">
        <v>669</v>
      </c>
      <c r="B170" t="s">
        <v>240</v>
      </c>
      <c r="C170" t="s">
        <v>267</v>
      </c>
      <c r="D170" t="s">
        <v>549</v>
      </c>
      <c r="E170" t="s">
        <v>216</v>
      </c>
      <c r="F170">
        <v>1</v>
      </c>
      <c r="G170" t="s">
        <v>550</v>
      </c>
      <c r="H170" t="s">
        <v>895</v>
      </c>
      <c r="I170" t="s">
        <v>210</v>
      </c>
    </row>
    <row r="171" spans="1:9" x14ac:dyDescent="0.3">
      <c r="A171">
        <v>670</v>
      </c>
      <c r="B171" t="s">
        <v>52</v>
      </c>
      <c r="C171" t="s">
        <v>339</v>
      </c>
      <c r="D171" t="s">
        <v>551</v>
      </c>
      <c r="E171" t="s">
        <v>65</v>
      </c>
      <c r="F171">
        <v>8</v>
      </c>
      <c r="G171" t="s">
        <v>552</v>
      </c>
      <c r="H171" t="s">
        <v>896</v>
      </c>
      <c r="I171" t="s">
        <v>201</v>
      </c>
    </row>
    <row r="172" spans="1:9" x14ac:dyDescent="0.3">
      <c r="A172">
        <v>671</v>
      </c>
      <c r="B172" t="s">
        <v>235</v>
      </c>
      <c r="C172" t="s">
        <v>222</v>
      </c>
      <c r="D172" t="s">
        <v>553</v>
      </c>
      <c r="E172" t="s">
        <v>238</v>
      </c>
      <c r="F172">
        <v>9</v>
      </c>
      <c r="G172" t="s">
        <v>554</v>
      </c>
      <c r="H172" t="s">
        <v>897</v>
      </c>
      <c r="I172" t="s">
        <v>201</v>
      </c>
    </row>
    <row r="173" spans="1:9" x14ac:dyDescent="0.3">
      <c r="A173">
        <v>672</v>
      </c>
      <c r="B173" t="s">
        <v>54</v>
      </c>
      <c r="C173" t="s">
        <v>211</v>
      </c>
      <c r="D173" t="s">
        <v>555</v>
      </c>
      <c r="E173" t="s">
        <v>67</v>
      </c>
      <c r="F173">
        <v>2</v>
      </c>
      <c r="G173" t="s">
        <v>556</v>
      </c>
      <c r="H173" t="s">
        <v>898</v>
      </c>
      <c r="I173" t="s">
        <v>201</v>
      </c>
    </row>
    <row r="174" spans="1:9" x14ac:dyDescent="0.3">
      <c r="A174">
        <v>673</v>
      </c>
      <c r="B174" t="s">
        <v>51</v>
      </c>
      <c r="C174" t="s">
        <v>267</v>
      </c>
      <c r="D174" t="s">
        <v>557</v>
      </c>
      <c r="E174" t="s">
        <v>58</v>
      </c>
      <c r="F174">
        <v>6</v>
      </c>
      <c r="G174" t="s">
        <v>558</v>
      </c>
      <c r="H174" t="s">
        <v>899</v>
      </c>
      <c r="I174" t="s">
        <v>205</v>
      </c>
    </row>
    <row r="175" spans="1:9" x14ac:dyDescent="0.3">
      <c r="A175">
        <v>674</v>
      </c>
      <c r="B175" t="s">
        <v>258</v>
      </c>
      <c r="C175" t="s">
        <v>241</v>
      </c>
      <c r="D175" t="s">
        <v>559</v>
      </c>
      <c r="E175" t="s">
        <v>238</v>
      </c>
      <c r="F175">
        <v>5</v>
      </c>
      <c r="G175" t="s">
        <v>560</v>
      </c>
      <c r="H175" t="s">
        <v>900</v>
      </c>
      <c r="I175" t="s">
        <v>210</v>
      </c>
    </row>
    <row r="176" spans="1:9" x14ac:dyDescent="0.3">
      <c r="A176">
        <v>675</v>
      </c>
      <c r="B176" t="s">
        <v>252</v>
      </c>
      <c r="C176" t="s">
        <v>329</v>
      </c>
      <c r="D176" t="s">
        <v>561</v>
      </c>
      <c r="E176" t="s">
        <v>238</v>
      </c>
      <c r="F176">
        <v>5</v>
      </c>
      <c r="G176" t="s">
        <v>562</v>
      </c>
      <c r="H176" t="s">
        <v>901</v>
      </c>
      <c r="I176" t="s">
        <v>201</v>
      </c>
    </row>
    <row r="177" spans="1:9" x14ac:dyDescent="0.3">
      <c r="A177">
        <v>676</v>
      </c>
      <c r="B177" t="s">
        <v>295</v>
      </c>
      <c r="C177" t="s">
        <v>259</v>
      </c>
      <c r="D177" t="s">
        <v>563</v>
      </c>
      <c r="E177" t="s">
        <v>58</v>
      </c>
      <c r="F177">
        <v>9</v>
      </c>
      <c r="G177" t="s">
        <v>564</v>
      </c>
      <c r="H177" t="s">
        <v>902</v>
      </c>
      <c r="I177" t="s">
        <v>205</v>
      </c>
    </row>
    <row r="178" spans="1:9" x14ac:dyDescent="0.3">
      <c r="A178">
        <v>677</v>
      </c>
      <c r="B178" t="s">
        <v>55</v>
      </c>
      <c r="C178" t="s">
        <v>206</v>
      </c>
      <c r="D178" t="s">
        <v>207</v>
      </c>
      <c r="E178" t="s">
        <v>62</v>
      </c>
      <c r="F178">
        <v>4</v>
      </c>
      <c r="G178" t="s">
        <v>565</v>
      </c>
      <c r="H178" t="s">
        <v>903</v>
      </c>
      <c r="I178" t="s">
        <v>205</v>
      </c>
    </row>
    <row r="179" spans="1:9" x14ac:dyDescent="0.3">
      <c r="A179">
        <v>678</v>
      </c>
      <c r="B179" t="s">
        <v>277</v>
      </c>
      <c r="C179" t="s">
        <v>198</v>
      </c>
      <c r="D179" t="s">
        <v>566</v>
      </c>
      <c r="E179" t="s">
        <v>238</v>
      </c>
      <c r="F179">
        <v>5</v>
      </c>
      <c r="G179" t="s">
        <v>567</v>
      </c>
      <c r="H179" t="s">
        <v>904</v>
      </c>
      <c r="I179" t="s">
        <v>201</v>
      </c>
    </row>
    <row r="180" spans="1:9" x14ac:dyDescent="0.3">
      <c r="A180">
        <v>679</v>
      </c>
      <c r="B180" t="s">
        <v>264</v>
      </c>
      <c r="C180" t="s">
        <v>198</v>
      </c>
      <c r="D180" t="s">
        <v>568</v>
      </c>
      <c r="E180" t="s">
        <v>213</v>
      </c>
      <c r="F180">
        <v>7</v>
      </c>
      <c r="G180" t="s">
        <v>569</v>
      </c>
      <c r="H180" t="s">
        <v>905</v>
      </c>
      <c r="I180" t="s">
        <v>205</v>
      </c>
    </row>
    <row r="181" spans="1:9" x14ac:dyDescent="0.3">
      <c r="A181">
        <v>680</v>
      </c>
      <c r="B181" t="s">
        <v>285</v>
      </c>
      <c r="C181" t="s">
        <v>267</v>
      </c>
      <c r="D181" t="s">
        <v>489</v>
      </c>
      <c r="E181" t="s">
        <v>67</v>
      </c>
      <c r="F181">
        <v>9</v>
      </c>
      <c r="G181" t="s">
        <v>570</v>
      </c>
      <c r="H181" t="s">
        <v>906</v>
      </c>
      <c r="I181" t="s">
        <v>205</v>
      </c>
    </row>
    <row r="182" spans="1:9" x14ac:dyDescent="0.3">
      <c r="A182">
        <v>681</v>
      </c>
      <c r="B182" t="s">
        <v>277</v>
      </c>
      <c r="C182" t="s">
        <v>352</v>
      </c>
      <c r="D182" t="s">
        <v>571</v>
      </c>
      <c r="E182" t="s">
        <v>63</v>
      </c>
      <c r="F182">
        <v>2</v>
      </c>
      <c r="G182" t="s">
        <v>572</v>
      </c>
      <c r="H182" t="s">
        <v>907</v>
      </c>
      <c r="I182" t="s">
        <v>205</v>
      </c>
    </row>
    <row r="183" spans="1:9" x14ac:dyDescent="0.3">
      <c r="A183">
        <v>682</v>
      </c>
      <c r="B183" t="s">
        <v>55</v>
      </c>
      <c r="C183" t="s">
        <v>270</v>
      </c>
      <c r="D183" t="s">
        <v>573</v>
      </c>
      <c r="E183" t="s">
        <v>65</v>
      </c>
      <c r="F183">
        <v>1</v>
      </c>
      <c r="G183" t="s">
        <v>574</v>
      </c>
      <c r="H183" t="s">
        <v>908</v>
      </c>
      <c r="I183" t="s">
        <v>205</v>
      </c>
    </row>
    <row r="184" spans="1:9" x14ac:dyDescent="0.3">
      <c r="A184">
        <v>683</v>
      </c>
      <c r="B184" t="s">
        <v>285</v>
      </c>
      <c r="C184" t="s">
        <v>329</v>
      </c>
      <c r="D184" t="s">
        <v>575</v>
      </c>
      <c r="E184" t="s">
        <v>289</v>
      </c>
      <c r="F184">
        <v>8</v>
      </c>
      <c r="G184" t="s">
        <v>576</v>
      </c>
      <c r="H184" t="s">
        <v>909</v>
      </c>
      <c r="I184" t="s">
        <v>210</v>
      </c>
    </row>
    <row r="185" spans="1:9" x14ac:dyDescent="0.3">
      <c r="A185">
        <v>684</v>
      </c>
      <c r="B185" t="s">
        <v>277</v>
      </c>
      <c r="C185" t="s">
        <v>339</v>
      </c>
      <c r="D185" t="s">
        <v>577</v>
      </c>
      <c r="E185" t="s">
        <v>208</v>
      </c>
      <c r="F185">
        <v>8</v>
      </c>
      <c r="G185" t="s">
        <v>578</v>
      </c>
      <c r="H185" t="s">
        <v>910</v>
      </c>
      <c r="I185" t="s">
        <v>201</v>
      </c>
    </row>
    <row r="186" spans="1:9" x14ac:dyDescent="0.3">
      <c r="A186">
        <v>685</v>
      </c>
      <c r="B186" t="s">
        <v>274</v>
      </c>
      <c r="C186" t="s">
        <v>259</v>
      </c>
      <c r="D186" t="s">
        <v>579</v>
      </c>
      <c r="E186" t="s">
        <v>230</v>
      </c>
      <c r="F186">
        <v>4</v>
      </c>
      <c r="G186" t="s">
        <v>580</v>
      </c>
      <c r="H186" t="s">
        <v>911</v>
      </c>
      <c r="I186" t="s">
        <v>205</v>
      </c>
    </row>
    <row r="187" spans="1:9" x14ac:dyDescent="0.3">
      <c r="A187">
        <v>686</v>
      </c>
      <c r="B187" t="s">
        <v>264</v>
      </c>
      <c r="C187" t="s">
        <v>296</v>
      </c>
      <c r="D187" t="s">
        <v>581</v>
      </c>
      <c r="E187" t="s">
        <v>59</v>
      </c>
      <c r="F187">
        <v>5</v>
      </c>
      <c r="G187" t="s">
        <v>582</v>
      </c>
      <c r="H187" t="s">
        <v>912</v>
      </c>
      <c r="I187" t="s">
        <v>205</v>
      </c>
    </row>
    <row r="188" spans="1:9" x14ac:dyDescent="0.3">
      <c r="A188">
        <v>687</v>
      </c>
      <c r="B188" t="s">
        <v>48</v>
      </c>
      <c r="C188" t="s">
        <v>202</v>
      </c>
      <c r="D188" t="s">
        <v>583</v>
      </c>
      <c r="E188" t="s">
        <v>62</v>
      </c>
      <c r="F188">
        <v>5</v>
      </c>
      <c r="G188" t="s">
        <v>584</v>
      </c>
      <c r="H188" t="s">
        <v>913</v>
      </c>
      <c r="I188" t="s">
        <v>205</v>
      </c>
    </row>
    <row r="189" spans="1:9" x14ac:dyDescent="0.3">
      <c r="A189">
        <v>688</v>
      </c>
      <c r="B189" t="s">
        <v>471</v>
      </c>
      <c r="C189" t="s">
        <v>324</v>
      </c>
      <c r="D189" t="s">
        <v>585</v>
      </c>
      <c r="E189" t="s">
        <v>289</v>
      </c>
      <c r="F189">
        <v>5</v>
      </c>
      <c r="G189" t="s">
        <v>586</v>
      </c>
      <c r="H189" t="s">
        <v>914</v>
      </c>
      <c r="I189" t="s">
        <v>205</v>
      </c>
    </row>
    <row r="190" spans="1:9" x14ac:dyDescent="0.3">
      <c r="A190">
        <v>689</v>
      </c>
      <c r="B190" t="s">
        <v>50</v>
      </c>
      <c r="C190" t="s">
        <v>247</v>
      </c>
      <c r="D190" t="s">
        <v>587</v>
      </c>
      <c r="E190" t="s">
        <v>308</v>
      </c>
      <c r="F190">
        <v>5</v>
      </c>
      <c r="G190" t="s">
        <v>588</v>
      </c>
      <c r="H190" t="s">
        <v>915</v>
      </c>
      <c r="I190" t="s">
        <v>201</v>
      </c>
    </row>
    <row r="191" spans="1:9" x14ac:dyDescent="0.3">
      <c r="A191">
        <v>690</v>
      </c>
      <c r="B191" t="s">
        <v>277</v>
      </c>
      <c r="C191" t="s">
        <v>206</v>
      </c>
      <c r="D191" t="s">
        <v>589</v>
      </c>
      <c r="E191" t="s">
        <v>333</v>
      </c>
      <c r="F191">
        <v>8</v>
      </c>
      <c r="G191" t="s">
        <v>590</v>
      </c>
      <c r="H191" t="s">
        <v>916</v>
      </c>
      <c r="I191" t="s">
        <v>210</v>
      </c>
    </row>
    <row r="192" spans="1:9" x14ac:dyDescent="0.3">
      <c r="A192">
        <v>691</v>
      </c>
      <c r="B192" t="s">
        <v>218</v>
      </c>
      <c r="C192" t="s">
        <v>202</v>
      </c>
      <c r="D192" t="s">
        <v>591</v>
      </c>
      <c r="E192" t="s">
        <v>58</v>
      </c>
      <c r="F192">
        <v>3</v>
      </c>
      <c r="G192" t="s">
        <v>592</v>
      </c>
      <c r="H192" t="s">
        <v>917</v>
      </c>
      <c r="I192" t="s">
        <v>205</v>
      </c>
    </row>
    <row r="193" spans="1:9" x14ac:dyDescent="0.3">
      <c r="A193">
        <v>692</v>
      </c>
      <c r="B193" t="s">
        <v>52</v>
      </c>
      <c r="C193" t="s">
        <v>211</v>
      </c>
      <c r="D193" t="s">
        <v>593</v>
      </c>
      <c r="E193" t="s">
        <v>64</v>
      </c>
      <c r="F193">
        <v>5</v>
      </c>
      <c r="G193" t="s">
        <v>594</v>
      </c>
      <c r="H193" t="s">
        <v>918</v>
      </c>
      <c r="I193" t="s">
        <v>205</v>
      </c>
    </row>
    <row r="194" spans="1:9" x14ac:dyDescent="0.3">
      <c r="A194">
        <v>693</v>
      </c>
      <c r="B194" t="s">
        <v>240</v>
      </c>
      <c r="C194" t="s">
        <v>270</v>
      </c>
      <c r="D194" t="s">
        <v>595</v>
      </c>
      <c r="E194" t="s">
        <v>213</v>
      </c>
      <c r="F194">
        <v>7</v>
      </c>
      <c r="G194" t="s">
        <v>596</v>
      </c>
      <c r="H194" t="s">
        <v>919</v>
      </c>
      <c r="I194" t="s">
        <v>210</v>
      </c>
    </row>
    <row r="195" spans="1:9" x14ac:dyDescent="0.3">
      <c r="A195">
        <v>694</v>
      </c>
      <c r="B195" t="s">
        <v>252</v>
      </c>
      <c r="C195" t="s">
        <v>232</v>
      </c>
      <c r="D195" t="s">
        <v>449</v>
      </c>
      <c r="E195" t="s">
        <v>213</v>
      </c>
      <c r="F195">
        <v>4</v>
      </c>
      <c r="G195" t="s">
        <v>597</v>
      </c>
      <c r="H195" t="s">
        <v>920</v>
      </c>
      <c r="I195" t="s">
        <v>205</v>
      </c>
    </row>
    <row r="196" spans="1:9" x14ac:dyDescent="0.3">
      <c r="A196">
        <v>695</v>
      </c>
      <c r="B196" t="s">
        <v>56</v>
      </c>
      <c r="C196" t="s">
        <v>241</v>
      </c>
      <c r="D196" t="s">
        <v>598</v>
      </c>
      <c r="E196" t="s">
        <v>216</v>
      </c>
      <c r="F196">
        <v>3</v>
      </c>
      <c r="G196" t="s">
        <v>599</v>
      </c>
      <c r="H196" t="s">
        <v>921</v>
      </c>
      <c r="I196" t="s">
        <v>210</v>
      </c>
    </row>
    <row r="197" spans="1:9" x14ac:dyDescent="0.3">
      <c r="A197">
        <v>696</v>
      </c>
      <c r="B197" t="s">
        <v>274</v>
      </c>
      <c r="C197" t="s">
        <v>324</v>
      </c>
      <c r="D197" t="s">
        <v>442</v>
      </c>
      <c r="E197" t="s">
        <v>272</v>
      </c>
      <c r="F197">
        <v>2</v>
      </c>
      <c r="G197" t="s">
        <v>600</v>
      </c>
      <c r="H197" t="s">
        <v>922</v>
      </c>
      <c r="I197" t="s">
        <v>205</v>
      </c>
    </row>
    <row r="198" spans="1:9" x14ac:dyDescent="0.3">
      <c r="A198">
        <v>697</v>
      </c>
      <c r="B198" t="s">
        <v>280</v>
      </c>
      <c r="C198" t="s">
        <v>270</v>
      </c>
      <c r="D198" t="s">
        <v>316</v>
      </c>
      <c r="E198" t="s">
        <v>64</v>
      </c>
      <c r="F198">
        <v>1</v>
      </c>
      <c r="G198" t="s">
        <v>601</v>
      </c>
      <c r="H198" t="s">
        <v>923</v>
      </c>
      <c r="I198" t="s">
        <v>210</v>
      </c>
    </row>
    <row r="199" spans="1:9" x14ac:dyDescent="0.3">
      <c r="A199">
        <v>698</v>
      </c>
      <c r="B199" t="s">
        <v>295</v>
      </c>
      <c r="C199" t="s">
        <v>219</v>
      </c>
      <c r="D199" t="s">
        <v>602</v>
      </c>
      <c r="E199" t="s">
        <v>213</v>
      </c>
      <c r="F199">
        <v>10</v>
      </c>
      <c r="G199" t="s">
        <v>603</v>
      </c>
      <c r="H199" t="s">
        <v>924</v>
      </c>
      <c r="I199" t="s">
        <v>210</v>
      </c>
    </row>
    <row r="200" spans="1:9" x14ac:dyDescent="0.3">
      <c r="A200">
        <v>699</v>
      </c>
      <c r="B200" t="s">
        <v>55</v>
      </c>
      <c r="C200" t="s">
        <v>255</v>
      </c>
      <c r="D200" t="s">
        <v>604</v>
      </c>
      <c r="E200" t="s">
        <v>289</v>
      </c>
      <c r="F200">
        <v>6</v>
      </c>
      <c r="G200" t="s">
        <v>605</v>
      </c>
      <c r="H200" t="s">
        <v>925</v>
      </c>
      <c r="I200" t="s">
        <v>201</v>
      </c>
    </row>
    <row r="201" spans="1:9" x14ac:dyDescent="0.3">
      <c r="A201">
        <v>700</v>
      </c>
      <c r="B201" t="s">
        <v>49</v>
      </c>
      <c r="C201" t="s">
        <v>259</v>
      </c>
      <c r="D201" t="s">
        <v>606</v>
      </c>
      <c r="E201" t="s">
        <v>208</v>
      </c>
      <c r="F201">
        <v>2</v>
      </c>
      <c r="G201" t="s">
        <v>607</v>
      </c>
      <c r="H201" t="s">
        <v>926</v>
      </c>
      <c r="I201" t="s">
        <v>210</v>
      </c>
    </row>
    <row r="202" spans="1:9" x14ac:dyDescent="0.3">
      <c r="A202">
        <v>701</v>
      </c>
      <c r="B202" t="s">
        <v>51</v>
      </c>
      <c r="C202" t="s">
        <v>241</v>
      </c>
      <c r="D202" t="s">
        <v>401</v>
      </c>
      <c r="E202" t="s">
        <v>60</v>
      </c>
      <c r="F202">
        <v>6</v>
      </c>
      <c r="G202" t="s">
        <v>608</v>
      </c>
      <c r="H202" t="s">
        <v>927</v>
      </c>
      <c r="I202" t="s">
        <v>210</v>
      </c>
    </row>
    <row r="203" spans="1:9" x14ac:dyDescent="0.3">
      <c r="A203">
        <v>702</v>
      </c>
      <c r="B203" t="s">
        <v>56</v>
      </c>
      <c r="C203" t="s">
        <v>211</v>
      </c>
      <c r="D203" t="s">
        <v>609</v>
      </c>
      <c r="E203" t="s">
        <v>272</v>
      </c>
      <c r="F203">
        <v>7</v>
      </c>
      <c r="G203" t="s">
        <v>610</v>
      </c>
      <c r="H203" t="s">
        <v>928</v>
      </c>
      <c r="I203" t="s">
        <v>205</v>
      </c>
    </row>
    <row r="204" spans="1:9" x14ac:dyDescent="0.3">
      <c r="A204">
        <v>703</v>
      </c>
      <c r="B204" t="s">
        <v>53</v>
      </c>
      <c r="C204" t="s">
        <v>236</v>
      </c>
      <c r="D204" t="s">
        <v>611</v>
      </c>
      <c r="E204" t="s">
        <v>62</v>
      </c>
      <c r="F204">
        <v>9</v>
      </c>
      <c r="G204" t="s">
        <v>612</v>
      </c>
      <c r="H204" t="s">
        <v>929</v>
      </c>
      <c r="I204" t="s">
        <v>210</v>
      </c>
    </row>
    <row r="205" spans="1:9" x14ac:dyDescent="0.3">
      <c r="A205">
        <v>704</v>
      </c>
      <c r="B205" t="s">
        <v>274</v>
      </c>
      <c r="C205" t="s">
        <v>202</v>
      </c>
      <c r="D205" t="s">
        <v>613</v>
      </c>
      <c r="E205" t="s">
        <v>63</v>
      </c>
      <c r="F205">
        <v>6</v>
      </c>
      <c r="G205" t="s">
        <v>614</v>
      </c>
      <c r="H205" t="s">
        <v>930</v>
      </c>
      <c r="I205" t="s">
        <v>210</v>
      </c>
    </row>
    <row r="206" spans="1:9" x14ac:dyDescent="0.3">
      <c r="A206">
        <v>705</v>
      </c>
      <c r="B206" t="s">
        <v>235</v>
      </c>
      <c r="C206" t="s">
        <v>198</v>
      </c>
      <c r="D206" t="s">
        <v>615</v>
      </c>
      <c r="E206" t="s">
        <v>289</v>
      </c>
      <c r="F206">
        <v>1</v>
      </c>
      <c r="G206" t="s">
        <v>616</v>
      </c>
      <c r="H206" t="s">
        <v>931</v>
      </c>
      <c r="I206" t="s">
        <v>210</v>
      </c>
    </row>
    <row r="207" spans="1:9" x14ac:dyDescent="0.3">
      <c r="A207">
        <v>706</v>
      </c>
      <c r="B207" t="s">
        <v>398</v>
      </c>
      <c r="C207" t="s">
        <v>259</v>
      </c>
      <c r="D207" t="s">
        <v>617</v>
      </c>
      <c r="E207" t="s">
        <v>371</v>
      </c>
      <c r="F207">
        <v>3</v>
      </c>
      <c r="G207" t="s">
        <v>618</v>
      </c>
      <c r="H207" t="s">
        <v>932</v>
      </c>
      <c r="I207" t="s">
        <v>201</v>
      </c>
    </row>
    <row r="208" spans="1:9" x14ac:dyDescent="0.3">
      <c r="A208">
        <v>707</v>
      </c>
      <c r="B208" t="s">
        <v>56</v>
      </c>
      <c r="C208" t="s">
        <v>232</v>
      </c>
      <c r="D208" t="s">
        <v>619</v>
      </c>
      <c r="E208" t="s">
        <v>308</v>
      </c>
      <c r="F208">
        <v>6</v>
      </c>
      <c r="G208" t="s">
        <v>620</v>
      </c>
      <c r="H208" t="s">
        <v>933</v>
      </c>
      <c r="I208" t="s">
        <v>210</v>
      </c>
    </row>
    <row r="209" spans="1:9" x14ac:dyDescent="0.3">
      <c r="A209">
        <v>708</v>
      </c>
      <c r="B209" t="s">
        <v>471</v>
      </c>
      <c r="C209" t="s">
        <v>324</v>
      </c>
      <c r="D209" t="s">
        <v>585</v>
      </c>
      <c r="E209" t="s">
        <v>59</v>
      </c>
      <c r="F209">
        <v>7</v>
      </c>
      <c r="G209" t="s">
        <v>621</v>
      </c>
      <c r="H209" t="s">
        <v>934</v>
      </c>
      <c r="I209" t="s">
        <v>205</v>
      </c>
    </row>
    <row r="210" spans="1:9" x14ac:dyDescent="0.3">
      <c r="A210">
        <v>709</v>
      </c>
      <c r="B210" t="s">
        <v>49</v>
      </c>
      <c r="C210" t="s">
        <v>329</v>
      </c>
      <c r="D210" t="s">
        <v>622</v>
      </c>
      <c r="E210" t="s">
        <v>61</v>
      </c>
      <c r="F210">
        <v>4</v>
      </c>
      <c r="G210" t="s">
        <v>623</v>
      </c>
      <c r="H210" t="s">
        <v>935</v>
      </c>
      <c r="I210" t="s">
        <v>210</v>
      </c>
    </row>
    <row r="211" spans="1:9" x14ac:dyDescent="0.3">
      <c r="A211">
        <v>710</v>
      </c>
      <c r="B211" t="s">
        <v>471</v>
      </c>
      <c r="C211" t="s">
        <v>241</v>
      </c>
      <c r="D211" t="s">
        <v>534</v>
      </c>
      <c r="E211" t="s">
        <v>371</v>
      </c>
      <c r="F211">
        <v>4</v>
      </c>
      <c r="G211" t="s">
        <v>535</v>
      </c>
      <c r="H211" t="s">
        <v>936</v>
      </c>
      <c r="I211" t="s">
        <v>201</v>
      </c>
    </row>
    <row r="212" spans="1:9" x14ac:dyDescent="0.3">
      <c r="A212">
        <v>711</v>
      </c>
      <c r="B212" t="s">
        <v>56</v>
      </c>
      <c r="C212" t="s">
        <v>255</v>
      </c>
      <c r="D212" t="s">
        <v>624</v>
      </c>
      <c r="E212" t="s">
        <v>67</v>
      </c>
      <c r="F212">
        <v>9</v>
      </c>
      <c r="G212" t="s">
        <v>625</v>
      </c>
      <c r="H212" t="s">
        <v>937</v>
      </c>
      <c r="I212" t="s">
        <v>210</v>
      </c>
    </row>
    <row r="213" spans="1:9" x14ac:dyDescent="0.3">
      <c r="A213">
        <v>712</v>
      </c>
      <c r="B213" t="s">
        <v>258</v>
      </c>
      <c r="C213" t="s">
        <v>296</v>
      </c>
      <c r="D213" t="s">
        <v>496</v>
      </c>
      <c r="E213" t="s">
        <v>289</v>
      </c>
      <c r="F213">
        <v>6</v>
      </c>
      <c r="G213" t="s">
        <v>626</v>
      </c>
      <c r="H213" t="s">
        <v>938</v>
      </c>
      <c r="I213" t="s">
        <v>205</v>
      </c>
    </row>
    <row r="214" spans="1:9" x14ac:dyDescent="0.3">
      <c r="A214">
        <v>713</v>
      </c>
      <c r="B214" t="s">
        <v>57</v>
      </c>
      <c r="C214" t="s">
        <v>232</v>
      </c>
      <c r="D214" t="s">
        <v>250</v>
      </c>
      <c r="E214" t="s">
        <v>230</v>
      </c>
      <c r="F214">
        <v>4</v>
      </c>
      <c r="G214" t="s">
        <v>627</v>
      </c>
      <c r="H214" t="s">
        <v>939</v>
      </c>
      <c r="I214" t="s">
        <v>210</v>
      </c>
    </row>
    <row r="215" spans="1:9" x14ac:dyDescent="0.3">
      <c r="A215">
        <v>714</v>
      </c>
      <c r="B215" t="s">
        <v>357</v>
      </c>
      <c r="C215" t="s">
        <v>296</v>
      </c>
      <c r="D215" t="s">
        <v>628</v>
      </c>
      <c r="E215" t="s">
        <v>216</v>
      </c>
      <c r="F215">
        <v>7</v>
      </c>
      <c r="G215" t="s">
        <v>629</v>
      </c>
      <c r="H215" t="s">
        <v>940</v>
      </c>
      <c r="I215" t="s">
        <v>201</v>
      </c>
    </row>
    <row r="216" spans="1:9" x14ac:dyDescent="0.3">
      <c r="A216">
        <v>715</v>
      </c>
      <c r="B216" t="s">
        <v>357</v>
      </c>
      <c r="C216" t="s">
        <v>267</v>
      </c>
      <c r="D216" t="s">
        <v>630</v>
      </c>
      <c r="E216" t="s">
        <v>61</v>
      </c>
      <c r="F216">
        <v>4</v>
      </c>
      <c r="G216" t="s">
        <v>631</v>
      </c>
      <c r="H216" t="s">
        <v>941</v>
      </c>
      <c r="I216" t="s">
        <v>201</v>
      </c>
    </row>
    <row r="217" spans="1:9" x14ac:dyDescent="0.3">
      <c r="A217">
        <v>716</v>
      </c>
      <c r="B217" t="s">
        <v>50</v>
      </c>
      <c r="C217" t="s">
        <v>222</v>
      </c>
      <c r="D217" t="s">
        <v>632</v>
      </c>
      <c r="E217" t="s">
        <v>308</v>
      </c>
      <c r="F217">
        <v>2</v>
      </c>
      <c r="G217" t="s">
        <v>633</v>
      </c>
      <c r="H217" t="s">
        <v>942</v>
      </c>
      <c r="I217" t="s">
        <v>205</v>
      </c>
    </row>
    <row r="218" spans="1:9" x14ac:dyDescent="0.3">
      <c r="A218">
        <v>717</v>
      </c>
      <c r="B218" t="s">
        <v>285</v>
      </c>
      <c r="C218" t="s">
        <v>211</v>
      </c>
      <c r="D218" t="s">
        <v>634</v>
      </c>
      <c r="E218" t="s">
        <v>216</v>
      </c>
      <c r="F218">
        <v>10</v>
      </c>
      <c r="G218" t="s">
        <v>635</v>
      </c>
      <c r="H218" t="s">
        <v>943</v>
      </c>
      <c r="I218" t="s">
        <v>205</v>
      </c>
    </row>
    <row r="219" spans="1:9" x14ac:dyDescent="0.3">
      <c r="A219">
        <v>718</v>
      </c>
      <c r="B219" t="s">
        <v>295</v>
      </c>
      <c r="C219" t="s">
        <v>329</v>
      </c>
      <c r="D219" t="s">
        <v>342</v>
      </c>
      <c r="E219" t="s">
        <v>371</v>
      </c>
      <c r="F219">
        <v>9</v>
      </c>
      <c r="G219" t="s">
        <v>636</v>
      </c>
      <c r="H219" t="s">
        <v>944</v>
      </c>
      <c r="I219" t="s">
        <v>201</v>
      </c>
    </row>
    <row r="220" spans="1:9" x14ac:dyDescent="0.3">
      <c r="A220">
        <v>719</v>
      </c>
      <c r="B220" t="s">
        <v>49</v>
      </c>
      <c r="C220" t="s">
        <v>219</v>
      </c>
      <c r="D220" t="s">
        <v>637</v>
      </c>
      <c r="E220" t="s">
        <v>65</v>
      </c>
      <c r="F220">
        <v>3</v>
      </c>
      <c r="G220" t="s">
        <v>638</v>
      </c>
      <c r="H220" t="s">
        <v>945</v>
      </c>
      <c r="I220" t="s">
        <v>201</v>
      </c>
    </row>
    <row r="221" spans="1:9" x14ac:dyDescent="0.3">
      <c r="A221">
        <v>720</v>
      </c>
      <c r="B221" t="s">
        <v>218</v>
      </c>
      <c r="C221" t="s">
        <v>202</v>
      </c>
      <c r="D221" t="s">
        <v>591</v>
      </c>
      <c r="E221" t="s">
        <v>66</v>
      </c>
      <c r="F221">
        <v>3</v>
      </c>
      <c r="G221" t="s">
        <v>639</v>
      </c>
      <c r="H221" t="s">
        <v>946</v>
      </c>
      <c r="I221" t="s">
        <v>205</v>
      </c>
    </row>
    <row r="222" spans="1:9" x14ac:dyDescent="0.3">
      <c r="A222">
        <v>721</v>
      </c>
      <c r="B222" t="s">
        <v>53</v>
      </c>
      <c r="C222" t="s">
        <v>211</v>
      </c>
      <c r="D222" t="s">
        <v>640</v>
      </c>
      <c r="E222" t="s">
        <v>371</v>
      </c>
      <c r="F222">
        <v>3</v>
      </c>
      <c r="G222" t="s">
        <v>641</v>
      </c>
      <c r="H222" t="s">
        <v>947</v>
      </c>
      <c r="I222" t="s">
        <v>201</v>
      </c>
    </row>
    <row r="223" spans="1:9" x14ac:dyDescent="0.3">
      <c r="A223">
        <v>722</v>
      </c>
      <c r="B223" t="s">
        <v>252</v>
      </c>
      <c r="C223" t="s">
        <v>206</v>
      </c>
      <c r="D223" t="s">
        <v>431</v>
      </c>
      <c r="E223" t="s">
        <v>66</v>
      </c>
      <c r="F223">
        <v>6</v>
      </c>
      <c r="G223" t="s">
        <v>642</v>
      </c>
      <c r="H223" t="s">
        <v>948</v>
      </c>
      <c r="I223" t="s">
        <v>210</v>
      </c>
    </row>
    <row r="224" spans="1:9" x14ac:dyDescent="0.3">
      <c r="A224">
        <v>723</v>
      </c>
      <c r="B224" t="s">
        <v>218</v>
      </c>
      <c r="C224" t="s">
        <v>339</v>
      </c>
      <c r="D224" t="s">
        <v>643</v>
      </c>
      <c r="E224" t="s">
        <v>59</v>
      </c>
      <c r="F224">
        <v>3</v>
      </c>
      <c r="G224" t="s">
        <v>644</v>
      </c>
      <c r="H224" t="s">
        <v>949</v>
      </c>
      <c r="I224" t="s">
        <v>201</v>
      </c>
    </row>
    <row r="225" spans="1:9" x14ac:dyDescent="0.3">
      <c r="A225">
        <v>724</v>
      </c>
      <c r="B225" t="s">
        <v>398</v>
      </c>
      <c r="C225" t="s">
        <v>241</v>
      </c>
      <c r="D225" t="s">
        <v>422</v>
      </c>
      <c r="E225" t="s">
        <v>61</v>
      </c>
      <c r="F225">
        <v>10</v>
      </c>
      <c r="G225" t="s">
        <v>423</v>
      </c>
      <c r="H225" t="s">
        <v>950</v>
      </c>
      <c r="I225" t="s">
        <v>201</v>
      </c>
    </row>
    <row r="226" spans="1:9" x14ac:dyDescent="0.3">
      <c r="A226">
        <v>725</v>
      </c>
      <c r="B226" t="s">
        <v>471</v>
      </c>
      <c r="C226" t="s">
        <v>352</v>
      </c>
      <c r="D226" t="s">
        <v>645</v>
      </c>
      <c r="E226" t="s">
        <v>238</v>
      </c>
      <c r="F226">
        <v>2</v>
      </c>
      <c r="G226" t="s">
        <v>646</v>
      </c>
      <c r="H226" t="s">
        <v>951</v>
      </c>
      <c r="I226" t="s">
        <v>210</v>
      </c>
    </row>
    <row r="227" spans="1:9" x14ac:dyDescent="0.3">
      <c r="A227">
        <v>726</v>
      </c>
      <c r="B227" t="s">
        <v>54</v>
      </c>
      <c r="C227" t="s">
        <v>247</v>
      </c>
      <c r="D227" t="s">
        <v>378</v>
      </c>
      <c r="E227" t="s">
        <v>63</v>
      </c>
      <c r="F227">
        <v>4</v>
      </c>
      <c r="G227" t="s">
        <v>647</v>
      </c>
      <c r="H227" t="s">
        <v>952</v>
      </c>
      <c r="I227" t="s">
        <v>210</v>
      </c>
    </row>
    <row r="228" spans="1:9" x14ac:dyDescent="0.3">
      <c r="A228">
        <v>727</v>
      </c>
      <c r="B228" t="s">
        <v>280</v>
      </c>
      <c r="C228" t="s">
        <v>241</v>
      </c>
      <c r="D228" t="s">
        <v>648</v>
      </c>
      <c r="E228" t="s">
        <v>272</v>
      </c>
      <c r="F228">
        <v>2</v>
      </c>
      <c r="G228" t="s">
        <v>649</v>
      </c>
      <c r="H228" t="s">
        <v>953</v>
      </c>
      <c r="I228" t="s">
        <v>201</v>
      </c>
    </row>
    <row r="229" spans="1:9" x14ac:dyDescent="0.3">
      <c r="A229">
        <v>728</v>
      </c>
      <c r="B229" t="s">
        <v>264</v>
      </c>
      <c r="C229" t="s">
        <v>211</v>
      </c>
      <c r="D229" t="s">
        <v>265</v>
      </c>
      <c r="E229" t="s">
        <v>230</v>
      </c>
      <c r="F229">
        <v>4</v>
      </c>
      <c r="G229" t="s">
        <v>266</v>
      </c>
      <c r="H229" t="s">
        <v>954</v>
      </c>
      <c r="I229" t="s">
        <v>201</v>
      </c>
    </row>
    <row r="230" spans="1:9" x14ac:dyDescent="0.3">
      <c r="A230">
        <v>729</v>
      </c>
      <c r="B230" t="s">
        <v>258</v>
      </c>
      <c r="C230" t="s">
        <v>198</v>
      </c>
      <c r="D230" t="s">
        <v>262</v>
      </c>
      <c r="E230" t="s">
        <v>333</v>
      </c>
      <c r="F230">
        <v>4</v>
      </c>
      <c r="G230" t="s">
        <v>435</v>
      </c>
      <c r="H230" t="s">
        <v>955</v>
      </c>
      <c r="I230" t="s">
        <v>201</v>
      </c>
    </row>
    <row r="231" spans="1:9" x14ac:dyDescent="0.3">
      <c r="A231">
        <v>730</v>
      </c>
      <c r="B231" t="s">
        <v>258</v>
      </c>
      <c r="C231" t="s">
        <v>222</v>
      </c>
      <c r="D231" t="s">
        <v>650</v>
      </c>
      <c r="E231" t="s">
        <v>272</v>
      </c>
      <c r="F231">
        <v>8</v>
      </c>
      <c r="G231" t="s">
        <v>651</v>
      </c>
      <c r="H231" t="s">
        <v>956</v>
      </c>
      <c r="I231" t="s">
        <v>201</v>
      </c>
    </row>
    <row r="232" spans="1:9" x14ac:dyDescent="0.3">
      <c r="A232">
        <v>731</v>
      </c>
      <c r="B232" t="s">
        <v>274</v>
      </c>
      <c r="C232" t="s">
        <v>211</v>
      </c>
      <c r="D232" t="s">
        <v>275</v>
      </c>
      <c r="E232" t="s">
        <v>208</v>
      </c>
      <c r="F232">
        <v>4</v>
      </c>
      <c r="G232" t="s">
        <v>276</v>
      </c>
      <c r="H232" t="s">
        <v>957</v>
      </c>
      <c r="I232" t="s">
        <v>201</v>
      </c>
    </row>
    <row r="233" spans="1:9" x14ac:dyDescent="0.3">
      <c r="A233">
        <v>732</v>
      </c>
      <c r="B233" t="s">
        <v>218</v>
      </c>
      <c r="C233" t="s">
        <v>232</v>
      </c>
      <c r="D233" t="s">
        <v>652</v>
      </c>
      <c r="E233" t="s">
        <v>213</v>
      </c>
      <c r="F233">
        <v>7</v>
      </c>
      <c r="G233" t="s">
        <v>653</v>
      </c>
      <c r="H233" t="s">
        <v>958</v>
      </c>
      <c r="I233" t="s">
        <v>201</v>
      </c>
    </row>
    <row r="234" spans="1:9" x14ac:dyDescent="0.3">
      <c r="A234">
        <v>733</v>
      </c>
      <c r="B234" t="s">
        <v>48</v>
      </c>
      <c r="C234" t="s">
        <v>202</v>
      </c>
      <c r="D234" t="s">
        <v>583</v>
      </c>
      <c r="E234" t="s">
        <v>272</v>
      </c>
      <c r="F234">
        <v>10</v>
      </c>
      <c r="G234" t="s">
        <v>654</v>
      </c>
      <c r="H234" t="s">
        <v>959</v>
      </c>
      <c r="I234" t="s">
        <v>210</v>
      </c>
    </row>
    <row r="235" spans="1:9" x14ac:dyDescent="0.3">
      <c r="A235">
        <v>734</v>
      </c>
      <c r="B235" t="s">
        <v>49</v>
      </c>
      <c r="C235" t="s">
        <v>222</v>
      </c>
      <c r="D235" t="s">
        <v>655</v>
      </c>
      <c r="E235" t="s">
        <v>208</v>
      </c>
      <c r="F235">
        <v>2</v>
      </c>
      <c r="G235" t="s">
        <v>656</v>
      </c>
      <c r="H235" t="s">
        <v>960</v>
      </c>
      <c r="I235" t="s">
        <v>205</v>
      </c>
    </row>
    <row r="236" spans="1:9" x14ac:dyDescent="0.3">
      <c r="A236">
        <v>735</v>
      </c>
      <c r="B236" t="s">
        <v>52</v>
      </c>
      <c r="C236" t="s">
        <v>247</v>
      </c>
      <c r="D236" t="s">
        <v>657</v>
      </c>
      <c r="E236" t="s">
        <v>62</v>
      </c>
      <c r="F236">
        <v>5</v>
      </c>
      <c r="G236" t="s">
        <v>658</v>
      </c>
      <c r="H236" t="s">
        <v>961</v>
      </c>
      <c r="I236" t="s">
        <v>201</v>
      </c>
    </row>
    <row r="237" spans="1:9" x14ac:dyDescent="0.3">
      <c r="A237">
        <v>736</v>
      </c>
      <c r="B237" t="s">
        <v>56</v>
      </c>
      <c r="C237" t="s">
        <v>296</v>
      </c>
      <c r="D237" t="s">
        <v>659</v>
      </c>
      <c r="E237" t="s">
        <v>61</v>
      </c>
      <c r="F237">
        <v>6</v>
      </c>
      <c r="G237" t="s">
        <v>660</v>
      </c>
      <c r="H237" t="s">
        <v>962</v>
      </c>
      <c r="I237" t="s">
        <v>201</v>
      </c>
    </row>
    <row r="238" spans="1:9" x14ac:dyDescent="0.3">
      <c r="A238">
        <v>737</v>
      </c>
      <c r="B238" t="s">
        <v>56</v>
      </c>
      <c r="C238" t="s">
        <v>296</v>
      </c>
      <c r="D238" t="s">
        <v>659</v>
      </c>
      <c r="E238" t="s">
        <v>62</v>
      </c>
      <c r="F238">
        <v>10</v>
      </c>
      <c r="G238" t="s">
        <v>661</v>
      </c>
      <c r="H238" t="s">
        <v>963</v>
      </c>
      <c r="I238" t="s">
        <v>205</v>
      </c>
    </row>
    <row r="239" spans="1:9" x14ac:dyDescent="0.3">
      <c r="A239">
        <v>738</v>
      </c>
      <c r="B239" t="s">
        <v>264</v>
      </c>
      <c r="C239" t="s">
        <v>198</v>
      </c>
      <c r="D239" t="s">
        <v>568</v>
      </c>
      <c r="E239" t="s">
        <v>60</v>
      </c>
      <c r="F239">
        <v>10</v>
      </c>
      <c r="G239" t="s">
        <v>662</v>
      </c>
      <c r="H239" t="s">
        <v>964</v>
      </c>
      <c r="I239" t="s">
        <v>210</v>
      </c>
    </row>
    <row r="240" spans="1:9" x14ac:dyDescent="0.3">
      <c r="A240">
        <v>739</v>
      </c>
      <c r="B240" t="s">
        <v>258</v>
      </c>
      <c r="C240" t="s">
        <v>236</v>
      </c>
      <c r="D240" t="s">
        <v>663</v>
      </c>
      <c r="E240" t="s">
        <v>60</v>
      </c>
      <c r="F240">
        <v>2</v>
      </c>
      <c r="G240" t="s">
        <v>664</v>
      </c>
      <c r="H240" t="s">
        <v>965</v>
      </c>
      <c r="I240" t="s">
        <v>210</v>
      </c>
    </row>
    <row r="241" spans="1:9" x14ac:dyDescent="0.3">
      <c r="A241">
        <v>740</v>
      </c>
      <c r="B241" t="s">
        <v>235</v>
      </c>
      <c r="C241" t="s">
        <v>222</v>
      </c>
      <c r="D241" t="s">
        <v>553</v>
      </c>
      <c r="E241" t="s">
        <v>58</v>
      </c>
      <c r="F241">
        <v>8</v>
      </c>
      <c r="G241" t="s">
        <v>665</v>
      </c>
      <c r="H241" t="s">
        <v>966</v>
      </c>
      <c r="I241" t="s">
        <v>205</v>
      </c>
    </row>
    <row r="242" spans="1:9" x14ac:dyDescent="0.3">
      <c r="A242">
        <v>741</v>
      </c>
      <c r="B242" t="s">
        <v>57</v>
      </c>
      <c r="C242" t="s">
        <v>267</v>
      </c>
      <c r="D242" t="s">
        <v>268</v>
      </c>
      <c r="E242" t="s">
        <v>208</v>
      </c>
      <c r="F242">
        <v>8</v>
      </c>
      <c r="G242" t="s">
        <v>269</v>
      </c>
      <c r="H242" t="s">
        <v>967</v>
      </c>
      <c r="I242" t="s">
        <v>205</v>
      </c>
    </row>
    <row r="243" spans="1:9" x14ac:dyDescent="0.3">
      <c r="A243">
        <v>742</v>
      </c>
      <c r="B243" t="s">
        <v>56</v>
      </c>
      <c r="C243" t="s">
        <v>202</v>
      </c>
      <c r="D243" t="s">
        <v>666</v>
      </c>
      <c r="E243" t="s">
        <v>230</v>
      </c>
      <c r="F243">
        <v>7</v>
      </c>
      <c r="G243" t="s">
        <v>667</v>
      </c>
      <c r="H243" t="s">
        <v>968</v>
      </c>
      <c r="I243" t="s">
        <v>210</v>
      </c>
    </row>
    <row r="244" spans="1:9" x14ac:dyDescent="0.3">
      <c r="A244">
        <v>743</v>
      </c>
      <c r="B244" t="s">
        <v>54</v>
      </c>
      <c r="C244" t="s">
        <v>241</v>
      </c>
      <c r="D244" t="s">
        <v>668</v>
      </c>
      <c r="E244" t="s">
        <v>213</v>
      </c>
      <c r="F244">
        <v>10</v>
      </c>
      <c r="G244" t="s">
        <v>669</v>
      </c>
      <c r="H244" t="s">
        <v>969</v>
      </c>
      <c r="I244" t="s">
        <v>201</v>
      </c>
    </row>
    <row r="245" spans="1:9" x14ac:dyDescent="0.3">
      <c r="A245">
        <v>744</v>
      </c>
      <c r="B245" t="s">
        <v>252</v>
      </c>
      <c r="C245" t="s">
        <v>255</v>
      </c>
      <c r="D245" t="s">
        <v>355</v>
      </c>
      <c r="E245" t="s">
        <v>65</v>
      </c>
      <c r="F245">
        <v>1</v>
      </c>
      <c r="G245" t="s">
        <v>670</v>
      </c>
      <c r="H245" t="s">
        <v>970</v>
      </c>
      <c r="I245" t="s">
        <v>201</v>
      </c>
    </row>
    <row r="246" spans="1:9" x14ac:dyDescent="0.3">
      <c r="A246">
        <v>745</v>
      </c>
      <c r="B246" t="s">
        <v>252</v>
      </c>
      <c r="C246" t="s">
        <v>267</v>
      </c>
      <c r="D246" t="s">
        <v>671</v>
      </c>
      <c r="E246" t="s">
        <v>64</v>
      </c>
      <c r="F246">
        <v>10</v>
      </c>
      <c r="G246" t="s">
        <v>672</v>
      </c>
      <c r="H246" t="s">
        <v>971</v>
      </c>
      <c r="I246" t="s">
        <v>210</v>
      </c>
    </row>
    <row r="247" spans="1:9" x14ac:dyDescent="0.3">
      <c r="A247">
        <v>746</v>
      </c>
      <c r="B247" t="s">
        <v>228</v>
      </c>
      <c r="C247" t="s">
        <v>219</v>
      </c>
      <c r="D247" t="s">
        <v>673</v>
      </c>
      <c r="E247" t="s">
        <v>216</v>
      </c>
      <c r="F247">
        <v>9</v>
      </c>
      <c r="G247" t="s">
        <v>674</v>
      </c>
      <c r="H247" t="s">
        <v>972</v>
      </c>
      <c r="I247" t="s">
        <v>210</v>
      </c>
    </row>
    <row r="248" spans="1:9" x14ac:dyDescent="0.3">
      <c r="A248">
        <v>747</v>
      </c>
      <c r="B248" t="s">
        <v>53</v>
      </c>
      <c r="C248" t="s">
        <v>206</v>
      </c>
      <c r="D248" t="s">
        <v>675</v>
      </c>
      <c r="E248" t="s">
        <v>289</v>
      </c>
      <c r="F248">
        <v>2</v>
      </c>
      <c r="G248" t="s">
        <v>676</v>
      </c>
      <c r="H248" t="s">
        <v>973</v>
      </c>
      <c r="I248" t="s">
        <v>210</v>
      </c>
    </row>
    <row r="249" spans="1:9" x14ac:dyDescent="0.3">
      <c r="A249">
        <v>748</v>
      </c>
      <c r="B249" t="s">
        <v>50</v>
      </c>
      <c r="C249" t="s">
        <v>259</v>
      </c>
      <c r="D249" t="s">
        <v>455</v>
      </c>
      <c r="E249" t="s">
        <v>272</v>
      </c>
      <c r="F249">
        <v>10</v>
      </c>
      <c r="G249" t="s">
        <v>677</v>
      </c>
      <c r="H249" t="s">
        <v>974</v>
      </c>
      <c r="I249" t="s">
        <v>205</v>
      </c>
    </row>
    <row r="250" spans="1:9" x14ac:dyDescent="0.3">
      <c r="A250">
        <v>749</v>
      </c>
      <c r="B250" t="s">
        <v>218</v>
      </c>
      <c r="C250" t="s">
        <v>198</v>
      </c>
      <c r="D250" t="s">
        <v>678</v>
      </c>
      <c r="E250" t="s">
        <v>371</v>
      </c>
      <c r="F250">
        <v>5</v>
      </c>
      <c r="G250" t="s">
        <v>679</v>
      </c>
      <c r="H250" t="s">
        <v>975</v>
      </c>
      <c r="I250" t="s">
        <v>210</v>
      </c>
    </row>
    <row r="251" spans="1:9" x14ac:dyDescent="0.3">
      <c r="A251">
        <v>750</v>
      </c>
      <c r="B251" t="s">
        <v>295</v>
      </c>
      <c r="C251" t="s">
        <v>211</v>
      </c>
      <c r="D251" t="s">
        <v>680</v>
      </c>
      <c r="E251" t="s">
        <v>66</v>
      </c>
      <c r="F251">
        <v>6</v>
      </c>
      <c r="G251" t="s">
        <v>681</v>
      </c>
      <c r="H251" t="s">
        <v>976</v>
      </c>
      <c r="I251" t="s">
        <v>205</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8CF7F-34E4-4A61-8FF7-716AEFA06972}">
  <dimension ref="A1"/>
  <sheetViews>
    <sheetView workbookViewId="0">
      <selection activeCell="E3" sqref="E3"/>
    </sheetView>
  </sheetViews>
  <sheetFormatPr defaultRowHeight="14.4" x14ac:dyDescent="0.3"/>
  <sheetData>
    <row r="1" spans="1:1" x14ac:dyDescent="0.3">
      <c r="A1" t="s">
        <v>684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68820-5FC7-415C-AA11-0875D738BF9B}">
  <dimension ref="A1:B33"/>
  <sheetViews>
    <sheetView zoomScale="130" zoomScaleNormal="130" workbookViewId="0">
      <selection activeCell="B10" sqref="B10"/>
    </sheetView>
  </sheetViews>
  <sheetFormatPr defaultRowHeight="14.4" x14ac:dyDescent="0.3"/>
  <cols>
    <col min="1" max="1" width="17.6640625" bestFit="1" customWidth="1"/>
    <col min="2" max="2" width="20" bestFit="1" customWidth="1"/>
  </cols>
  <sheetData>
    <row r="1" spans="1:2" x14ac:dyDescent="0.3">
      <c r="A1" t="s">
        <v>68</v>
      </c>
    </row>
    <row r="2" spans="1:2" x14ac:dyDescent="0.3">
      <c r="A2" t="s">
        <v>686</v>
      </c>
    </row>
    <row r="3" spans="1:2" x14ac:dyDescent="0.3">
      <c r="A3" t="s">
        <v>689</v>
      </c>
    </row>
    <row r="7" spans="1:2" s="15" customFormat="1" ht="30.45" customHeight="1" x14ac:dyDescent="0.3">
      <c r="A7" s="14" t="s">
        <v>36</v>
      </c>
      <c r="B7" s="15" t="s">
        <v>688</v>
      </c>
    </row>
    <row r="8" spans="1:2" x14ac:dyDescent="0.3">
      <c r="A8" s="13" t="s">
        <v>107</v>
      </c>
      <c r="B8">
        <v>1313</v>
      </c>
    </row>
    <row r="9" spans="1:2" x14ac:dyDescent="0.3">
      <c r="A9" s="13" t="s">
        <v>116</v>
      </c>
      <c r="B9">
        <v>748</v>
      </c>
    </row>
    <row r="10" spans="1:2" x14ac:dyDescent="0.3">
      <c r="A10" s="13" t="s">
        <v>27</v>
      </c>
      <c r="B10">
        <v>697</v>
      </c>
    </row>
    <row r="11" spans="1:2" x14ac:dyDescent="0.3">
      <c r="A11" s="13" t="s">
        <v>136</v>
      </c>
      <c r="B11">
        <v>620</v>
      </c>
    </row>
    <row r="12" spans="1:2" x14ac:dyDescent="0.3">
      <c r="A12" s="13" t="s">
        <v>109</v>
      </c>
      <c r="B12">
        <v>571</v>
      </c>
    </row>
    <row r="13" spans="1:2" x14ac:dyDescent="0.3">
      <c r="A13" s="13" t="s">
        <v>128</v>
      </c>
      <c r="B13">
        <v>548</v>
      </c>
    </row>
    <row r="14" spans="1:2" x14ac:dyDescent="0.3">
      <c r="A14" s="13" t="s">
        <v>31</v>
      </c>
      <c r="B14">
        <v>539</v>
      </c>
    </row>
    <row r="15" spans="1:2" x14ac:dyDescent="0.3">
      <c r="A15" s="13" t="s">
        <v>153</v>
      </c>
      <c r="B15">
        <v>509</v>
      </c>
    </row>
    <row r="16" spans="1:2" x14ac:dyDescent="0.3">
      <c r="A16" s="13" t="s">
        <v>30</v>
      </c>
      <c r="B16">
        <v>427</v>
      </c>
    </row>
    <row r="17" spans="1:2" x14ac:dyDescent="0.3">
      <c r="A17" s="13" t="s">
        <v>120</v>
      </c>
      <c r="B17">
        <v>385</v>
      </c>
    </row>
    <row r="18" spans="1:2" x14ac:dyDescent="0.3">
      <c r="A18" s="13" t="s">
        <v>172</v>
      </c>
      <c r="B18">
        <v>377</v>
      </c>
    </row>
    <row r="19" spans="1:2" x14ac:dyDescent="0.3">
      <c r="A19" s="13" t="s">
        <v>177</v>
      </c>
      <c r="B19">
        <v>375</v>
      </c>
    </row>
    <row r="20" spans="1:2" x14ac:dyDescent="0.3">
      <c r="A20" s="13" t="s">
        <v>125</v>
      </c>
      <c r="B20">
        <v>366</v>
      </c>
    </row>
    <row r="21" spans="1:2" x14ac:dyDescent="0.3">
      <c r="A21" s="13" t="s">
        <v>165</v>
      </c>
      <c r="B21">
        <v>320</v>
      </c>
    </row>
    <row r="22" spans="1:2" x14ac:dyDescent="0.3">
      <c r="A22" s="13" t="s">
        <v>168</v>
      </c>
      <c r="B22">
        <v>316</v>
      </c>
    </row>
    <row r="23" spans="1:2" x14ac:dyDescent="0.3">
      <c r="A23" s="13" t="s">
        <v>139</v>
      </c>
      <c r="B23">
        <v>307</v>
      </c>
    </row>
    <row r="24" spans="1:2" x14ac:dyDescent="0.3">
      <c r="A24" s="13" t="s">
        <v>180</v>
      </c>
      <c r="B24">
        <v>305</v>
      </c>
    </row>
    <row r="25" spans="1:2" x14ac:dyDescent="0.3">
      <c r="A25" s="13" t="s">
        <v>113</v>
      </c>
      <c r="B25">
        <v>303</v>
      </c>
    </row>
    <row r="26" spans="1:2" x14ac:dyDescent="0.3">
      <c r="A26" s="13" t="s">
        <v>144</v>
      </c>
      <c r="B26">
        <v>301</v>
      </c>
    </row>
    <row r="27" spans="1:2" x14ac:dyDescent="0.3">
      <c r="A27" s="13" t="s">
        <v>132</v>
      </c>
      <c r="B27">
        <v>289</v>
      </c>
    </row>
    <row r="28" spans="1:2" x14ac:dyDescent="0.3">
      <c r="A28" s="13" t="s">
        <v>29</v>
      </c>
      <c r="B28">
        <v>270</v>
      </c>
    </row>
    <row r="29" spans="1:2" x14ac:dyDescent="0.3">
      <c r="A29" s="13" t="s">
        <v>28</v>
      </c>
      <c r="B29">
        <v>268</v>
      </c>
    </row>
    <row r="30" spans="1:2" x14ac:dyDescent="0.3">
      <c r="A30" s="13" t="s">
        <v>147</v>
      </c>
      <c r="B30">
        <v>225</v>
      </c>
    </row>
    <row r="31" spans="1:2" x14ac:dyDescent="0.3">
      <c r="A31" s="13" t="s">
        <v>26</v>
      </c>
      <c r="B31">
        <v>200</v>
      </c>
    </row>
    <row r="32" spans="1:2" x14ac:dyDescent="0.3">
      <c r="A32" s="13" t="s">
        <v>183</v>
      </c>
      <c r="B32">
        <v>195</v>
      </c>
    </row>
    <row r="33" spans="1:2" x14ac:dyDescent="0.3">
      <c r="A33" s="13" t="s">
        <v>682</v>
      </c>
      <c r="B33">
        <v>10774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0F0A4-7C04-49FD-B08E-2F317113F2DE}">
  <dimension ref="A1:B31"/>
  <sheetViews>
    <sheetView zoomScale="130" zoomScaleNormal="130" workbookViewId="0">
      <pane ySplit="5" topLeftCell="A6" activePane="bottomLeft" state="frozen"/>
      <selection activeCell="B10" sqref="B10"/>
      <selection pane="bottomLeft" activeCell="B10" sqref="B10"/>
    </sheetView>
  </sheetViews>
  <sheetFormatPr defaultRowHeight="14.4" x14ac:dyDescent="0.3"/>
  <cols>
    <col min="1" max="1" width="17.6640625" bestFit="1" customWidth="1"/>
    <col min="2" max="2" width="20" bestFit="1" customWidth="1"/>
  </cols>
  <sheetData>
    <row r="1" spans="1:2" x14ac:dyDescent="0.3">
      <c r="A1" t="s">
        <v>68</v>
      </c>
    </row>
    <row r="2" spans="1:2" x14ac:dyDescent="0.3">
      <c r="A2" t="s">
        <v>686</v>
      </c>
    </row>
    <row r="3" spans="1:2" ht="26.55" customHeight="1" x14ac:dyDescent="0.3">
      <c r="A3" t="s">
        <v>689</v>
      </c>
    </row>
    <row r="4" spans="1:2" ht="15.45" customHeight="1" x14ac:dyDescent="0.3"/>
    <row r="5" spans="1:2" s="15" customFormat="1" ht="30.45" customHeight="1" x14ac:dyDescent="0.3">
      <c r="A5" s="14" t="s">
        <v>36</v>
      </c>
      <c r="B5" s="15" t="s">
        <v>688</v>
      </c>
    </row>
    <row r="6" spans="1:2" x14ac:dyDescent="0.3">
      <c r="A6" s="13" t="s">
        <v>107</v>
      </c>
      <c r="B6">
        <v>1313</v>
      </c>
    </row>
    <row r="7" spans="1:2" x14ac:dyDescent="0.3">
      <c r="A7" s="13" t="s">
        <v>116</v>
      </c>
      <c r="B7">
        <v>748</v>
      </c>
    </row>
    <row r="8" spans="1:2" x14ac:dyDescent="0.3">
      <c r="A8" s="13" t="s">
        <v>27</v>
      </c>
      <c r="B8">
        <v>697</v>
      </c>
    </row>
    <row r="9" spans="1:2" x14ac:dyDescent="0.3">
      <c r="A9" s="13" t="s">
        <v>136</v>
      </c>
      <c r="B9">
        <v>620</v>
      </c>
    </row>
    <row r="10" spans="1:2" x14ac:dyDescent="0.3">
      <c r="A10" s="13" t="s">
        <v>109</v>
      </c>
      <c r="B10">
        <v>571</v>
      </c>
    </row>
    <row r="11" spans="1:2" x14ac:dyDescent="0.3">
      <c r="A11" s="13" t="s">
        <v>128</v>
      </c>
      <c r="B11">
        <v>548</v>
      </c>
    </row>
    <row r="12" spans="1:2" x14ac:dyDescent="0.3">
      <c r="A12" s="13" t="s">
        <v>31</v>
      </c>
      <c r="B12">
        <v>539</v>
      </c>
    </row>
    <row r="13" spans="1:2" x14ac:dyDescent="0.3">
      <c r="A13" s="13" t="s">
        <v>153</v>
      </c>
      <c r="B13">
        <v>509</v>
      </c>
    </row>
    <row r="14" spans="1:2" x14ac:dyDescent="0.3">
      <c r="A14" s="13" t="s">
        <v>30</v>
      </c>
      <c r="B14">
        <v>427</v>
      </c>
    </row>
    <row r="15" spans="1:2" x14ac:dyDescent="0.3">
      <c r="A15" s="13" t="s">
        <v>120</v>
      </c>
      <c r="B15">
        <v>385</v>
      </c>
    </row>
    <row r="16" spans="1:2" x14ac:dyDescent="0.3">
      <c r="A16" s="13" t="s">
        <v>172</v>
      </c>
      <c r="B16">
        <v>377</v>
      </c>
    </row>
    <row r="17" spans="1:2" x14ac:dyDescent="0.3">
      <c r="A17" s="13" t="s">
        <v>177</v>
      </c>
      <c r="B17">
        <v>375</v>
      </c>
    </row>
    <row r="18" spans="1:2" x14ac:dyDescent="0.3">
      <c r="A18" s="13" t="s">
        <v>125</v>
      </c>
      <c r="B18">
        <v>366</v>
      </c>
    </row>
    <row r="19" spans="1:2" x14ac:dyDescent="0.3">
      <c r="A19" s="13" t="s">
        <v>165</v>
      </c>
      <c r="B19">
        <v>320</v>
      </c>
    </row>
    <row r="20" spans="1:2" x14ac:dyDescent="0.3">
      <c r="A20" s="13" t="s">
        <v>168</v>
      </c>
      <c r="B20">
        <v>316</v>
      </c>
    </row>
    <row r="21" spans="1:2" x14ac:dyDescent="0.3">
      <c r="A21" s="13" t="s">
        <v>139</v>
      </c>
      <c r="B21">
        <v>307</v>
      </c>
    </row>
    <row r="22" spans="1:2" x14ac:dyDescent="0.3">
      <c r="A22" s="13" t="s">
        <v>180</v>
      </c>
      <c r="B22">
        <v>305</v>
      </c>
    </row>
    <row r="23" spans="1:2" x14ac:dyDescent="0.3">
      <c r="A23" s="13" t="s">
        <v>113</v>
      </c>
      <c r="B23">
        <v>303</v>
      </c>
    </row>
    <row r="24" spans="1:2" x14ac:dyDescent="0.3">
      <c r="A24" s="13" t="s">
        <v>144</v>
      </c>
      <c r="B24">
        <v>301</v>
      </c>
    </row>
    <row r="25" spans="1:2" x14ac:dyDescent="0.3">
      <c r="A25" s="13" t="s">
        <v>132</v>
      </c>
      <c r="B25">
        <v>289</v>
      </c>
    </row>
    <row r="26" spans="1:2" x14ac:dyDescent="0.3">
      <c r="A26" s="13" t="s">
        <v>29</v>
      </c>
      <c r="B26">
        <v>270</v>
      </c>
    </row>
    <row r="27" spans="1:2" x14ac:dyDescent="0.3">
      <c r="A27" s="13" t="s">
        <v>28</v>
      </c>
      <c r="B27">
        <v>268</v>
      </c>
    </row>
    <row r="28" spans="1:2" x14ac:dyDescent="0.3">
      <c r="A28" s="13" t="s">
        <v>147</v>
      </c>
      <c r="B28">
        <v>225</v>
      </c>
    </row>
    <row r="29" spans="1:2" x14ac:dyDescent="0.3">
      <c r="A29" s="13" t="s">
        <v>26</v>
      </c>
      <c r="B29">
        <v>200</v>
      </c>
    </row>
    <row r="30" spans="1:2" x14ac:dyDescent="0.3">
      <c r="A30" s="13" t="s">
        <v>183</v>
      </c>
      <c r="B30">
        <v>195</v>
      </c>
    </row>
    <row r="31" spans="1:2" x14ac:dyDescent="0.3">
      <c r="A31" s="13" t="s">
        <v>682</v>
      </c>
      <c r="B31">
        <v>10774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AD305-C1C4-40AE-93EA-BE62187ADA5A}">
  <dimension ref="A1:MK35"/>
  <sheetViews>
    <sheetView zoomScale="130" zoomScaleNormal="130" workbookViewId="0">
      <selection activeCell="B10" sqref="B10"/>
    </sheetView>
  </sheetViews>
  <sheetFormatPr defaultRowHeight="14.4" x14ac:dyDescent="0.3"/>
  <cols>
    <col min="1" max="1" width="20" bestFit="1" customWidth="1"/>
    <col min="2" max="2" width="15.21875" bestFit="1" customWidth="1"/>
    <col min="3" max="3" width="4.109375" bestFit="1" customWidth="1"/>
    <col min="4" max="4" width="4.44140625" bestFit="1" customWidth="1"/>
    <col min="5" max="5" width="9.33203125" bestFit="1" customWidth="1"/>
    <col min="6" max="6" width="7.21875" bestFit="1" customWidth="1"/>
    <col min="7" max="7" width="5.21875" bestFit="1" customWidth="1"/>
    <col min="8" max="8" width="4.109375" bestFit="1" customWidth="1"/>
    <col min="9" max="9" width="9.33203125" bestFit="1" customWidth="1"/>
    <col min="10" max="10" width="7.21875" bestFit="1" customWidth="1"/>
    <col min="11" max="11" width="4.21875" bestFit="1" customWidth="1"/>
    <col min="12" max="12" width="4.109375" bestFit="1" customWidth="1"/>
    <col min="13" max="13" width="9.33203125" bestFit="1" customWidth="1"/>
    <col min="14" max="14" width="7.21875" bestFit="1" customWidth="1"/>
    <col min="15" max="15" width="4.33203125" bestFit="1" customWidth="1"/>
    <col min="16" max="16" width="4.109375" bestFit="1" customWidth="1"/>
    <col min="17" max="17" width="9.33203125" bestFit="1" customWidth="1"/>
    <col min="18" max="18" width="10.77734375" bestFit="1" customWidth="1"/>
    <col min="19" max="348" width="10.6640625" bestFit="1" customWidth="1"/>
    <col min="349" max="349" width="10.77734375" bestFit="1" customWidth="1"/>
  </cols>
  <sheetData>
    <row r="1" spans="1:349" x14ac:dyDescent="0.3">
      <c r="A1" t="s">
        <v>68</v>
      </c>
    </row>
    <row r="2" spans="1:349" x14ac:dyDescent="0.3">
      <c r="A2" t="s">
        <v>686</v>
      </c>
    </row>
    <row r="3" spans="1:349" x14ac:dyDescent="0.3">
      <c r="A3" t="s">
        <v>689</v>
      </c>
    </row>
    <row r="7" spans="1:349" s="15" customFormat="1" ht="30.45" customHeight="1" x14ac:dyDescent="0.3">
      <c r="A7" s="3" t="s">
        <v>688</v>
      </c>
      <c r="B7" s="3" t="s">
        <v>690</v>
      </c>
      <c r="C7"/>
      <c r="D7"/>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row>
    <row r="8" spans="1:349" x14ac:dyDescent="0.3">
      <c r="B8" t="s">
        <v>703</v>
      </c>
      <c r="E8" t="s">
        <v>704</v>
      </c>
      <c r="F8" t="s">
        <v>705</v>
      </c>
      <c r="I8" t="s">
        <v>706</v>
      </c>
      <c r="J8" t="s">
        <v>707</v>
      </c>
      <c r="M8" t="s">
        <v>708</v>
      </c>
      <c r="N8" t="s">
        <v>709</v>
      </c>
      <c r="Q8" t="s">
        <v>710</v>
      </c>
      <c r="R8" t="s">
        <v>682</v>
      </c>
    </row>
    <row r="9" spans="1:349" x14ac:dyDescent="0.3">
      <c r="A9" s="14" t="s">
        <v>36</v>
      </c>
      <c r="B9" t="s">
        <v>691</v>
      </c>
      <c r="C9" t="s">
        <v>692</v>
      </c>
      <c r="D9" t="s">
        <v>693</v>
      </c>
      <c r="F9" t="s">
        <v>694</v>
      </c>
      <c r="G9" t="s">
        <v>695</v>
      </c>
      <c r="H9" t="s">
        <v>696</v>
      </c>
      <c r="J9" t="s">
        <v>697</v>
      </c>
      <c r="K9" t="s">
        <v>698</v>
      </c>
      <c r="L9" t="s">
        <v>699</v>
      </c>
      <c r="N9" t="s">
        <v>700</v>
      </c>
      <c r="O9" t="s">
        <v>701</v>
      </c>
      <c r="P9" t="s">
        <v>702</v>
      </c>
    </row>
    <row r="10" spans="1:349" x14ac:dyDescent="0.3">
      <c r="A10" s="13" t="s">
        <v>107</v>
      </c>
      <c r="B10">
        <v>63</v>
      </c>
      <c r="C10">
        <v>118</v>
      </c>
      <c r="D10">
        <v>78</v>
      </c>
      <c r="E10">
        <v>259</v>
      </c>
      <c r="F10">
        <v>95</v>
      </c>
      <c r="G10">
        <v>166</v>
      </c>
      <c r="H10">
        <v>78</v>
      </c>
      <c r="I10">
        <v>339</v>
      </c>
      <c r="J10">
        <v>77</v>
      </c>
      <c r="K10">
        <v>196</v>
      </c>
      <c r="L10">
        <v>122</v>
      </c>
      <c r="M10">
        <v>395</v>
      </c>
      <c r="N10">
        <v>101</v>
      </c>
      <c r="O10">
        <v>121</v>
      </c>
      <c r="P10">
        <v>98</v>
      </c>
      <c r="Q10">
        <v>320</v>
      </c>
      <c r="R10">
        <v>1313</v>
      </c>
    </row>
    <row r="11" spans="1:349" x14ac:dyDescent="0.3">
      <c r="A11" s="13" t="s">
        <v>116</v>
      </c>
      <c r="C11">
        <v>55</v>
      </c>
      <c r="D11">
        <v>50</v>
      </c>
      <c r="E11">
        <v>105</v>
      </c>
      <c r="F11">
        <v>72</v>
      </c>
      <c r="G11">
        <v>79</v>
      </c>
      <c r="H11">
        <v>130</v>
      </c>
      <c r="I11">
        <v>281</v>
      </c>
      <c r="J11">
        <v>92</v>
      </c>
      <c r="K11">
        <v>24</v>
      </c>
      <c r="L11">
        <v>47</v>
      </c>
      <c r="M11">
        <v>163</v>
      </c>
      <c r="N11">
        <v>47</v>
      </c>
      <c r="O11">
        <v>54</v>
      </c>
      <c r="P11">
        <v>98</v>
      </c>
      <c r="Q11">
        <v>199</v>
      </c>
      <c r="R11">
        <v>748</v>
      </c>
    </row>
    <row r="12" spans="1:349" x14ac:dyDescent="0.3">
      <c r="A12" s="13" t="s">
        <v>27</v>
      </c>
      <c r="B12">
        <v>70</v>
      </c>
      <c r="C12">
        <v>49</v>
      </c>
      <c r="D12">
        <v>55</v>
      </c>
      <c r="E12">
        <v>174</v>
      </c>
      <c r="F12">
        <v>38</v>
      </c>
      <c r="G12">
        <v>77</v>
      </c>
      <c r="H12">
        <v>63</v>
      </c>
      <c r="I12">
        <v>178</v>
      </c>
      <c r="J12">
        <v>76</v>
      </c>
      <c r="K12">
        <v>76</v>
      </c>
      <c r="L12">
        <v>18</v>
      </c>
      <c r="M12">
        <v>170</v>
      </c>
      <c r="N12">
        <v>41</v>
      </c>
      <c r="O12">
        <v>77</v>
      </c>
      <c r="P12">
        <v>57</v>
      </c>
      <c r="Q12">
        <v>175</v>
      </c>
      <c r="R12">
        <v>697</v>
      </c>
    </row>
    <row r="13" spans="1:349" x14ac:dyDescent="0.3">
      <c r="A13" s="13" t="s">
        <v>136</v>
      </c>
      <c r="B13">
        <v>53</v>
      </c>
      <c r="C13">
        <v>31</v>
      </c>
      <c r="D13">
        <v>65</v>
      </c>
      <c r="E13">
        <v>149</v>
      </c>
      <c r="F13">
        <v>10</v>
      </c>
      <c r="G13">
        <v>30</v>
      </c>
      <c r="H13">
        <v>31</v>
      </c>
      <c r="I13">
        <v>71</v>
      </c>
      <c r="J13">
        <v>98</v>
      </c>
      <c r="K13">
        <v>46</v>
      </c>
      <c r="L13">
        <v>65</v>
      </c>
      <c r="M13">
        <v>209</v>
      </c>
      <c r="N13">
        <v>94</v>
      </c>
      <c r="O13">
        <v>50</v>
      </c>
      <c r="P13">
        <v>47</v>
      </c>
      <c r="Q13">
        <v>191</v>
      </c>
      <c r="R13">
        <v>620</v>
      </c>
    </row>
    <row r="14" spans="1:349" x14ac:dyDescent="0.3">
      <c r="A14" s="13" t="s">
        <v>109</v>
      </c>
      <c r="B14">
        <v>55</v>
      </c>
      <c r="C14">
        <v>46</v>
      </c>
      <c r="D14">
        <v>22</v>
      </c>
      <c r="E14">
        <v>123</v>
      </c>
      <c r="F14">
        <v>15</v>
      </c>
      <c r="G14">
        <v>67</v>
      </c>
      <c r="H14">
        <v>80</v>
      </c>
      <c r="I14">
        <v>162</v>
      </c>
      <c r="J14">
        <v>15</v>
      </c>
      <c r="K14">
        <v>68</v>
      </c>
      <c r="L14">
        <v>43</v>
      </c>
      <c r="M14">
        <v>126</v>
      </c>
      <c r="N14">
        <v>46</v>
      </c>
      <c r="O14">
        <v>74</v>
      </c>
      <c r="P14">
        <v>40</v>
      </c>
      <c r="Q14">
        <v>160</v>
      </c>
      <c r="R14">
        <v>571</v>
      </c>
    </row>
    <row r="15" spans="1:349" x14ac:dyDescent="0.3">
      <c r="A15" s="13" t="s">
        <v>128</v>
      </c>
      <c r="B15">
        <v>47</v>
      </c>
      <c r="C15">
        <v>14</v>
      </c>
      <c r="D15">
        <v>104</v>
      </c>
      <c r="E15">
        <v>165</v>
      </c>
      <c r="F15">
        <v>39</v>
      </c>
      <c r="G15">
        <v>74</v>
      </c>
      <c r="H15">
        <v>34</v>
      </c>
      <c r="I15">
        <v>147</v>
      </c>
      <c r="J15">
        <v>18</v>
      </c>
      <c r="K15">
        <v>23</v>
      </c>
      <c r="L15">
        <v>71</v>
      </c>
      <c r="M15">
        <v>112</v>
      </c>
      <c r="N15">
        <v>34</v>
      </c>
      <c r="O15">
        <v>41</v>
      </c>
      <c r="P15">
        <v>49</v>
      </c>
      <c r="Q15">
        <v>124</v>
      </c>
      <c r="R15">
        <v>548</v>
      </c>
    </row>
    <row r="16" spans="1:349" x14ac:dyDescent="0.3">
      <c r="A16" s="13" t="s">
        <v>31</v>
      </c>
      <c r="B16">
        <v>35</v>
      </c>
      <c r="C16">
        <v>33</v>
      </c>
      <c r="D16">
        <v>52</v>
      </c>
      <c r="E16">
        <v>120</v>
      </c>
      <c r="F16">
        <v>11</v>
      </c>
      <c r="G16">
        <v>27</v>
      </c>
      <c r="H16">
        <v>21</v>
      </c>
      <c r="I16">
        <v>59</v>
      </c>
      <c r="J16">
        <v>80</v>
      </c>
      <c r="K16">
        <v>64</v>
      </c>
      <c r="L16">
        <v>45</v>
      </c>
      <c r="M16">
        <v>189</v>
      </c>
      <c r="N16">
        <v>74</v>
      </c>
      <c r="O16">
        <v>44</v>
      </c>
      <c r="P16">
        <v>53</v>
      </c>
      <c r="Q16">
        <v>171</v>
      </c>
      <c r="R16">
        <v>539</v>
      </c>
    </row>
    <row r="17" spans="1:18" x14ac:dyDescent="0.3">
      <c r="A17" s="13" t="s">
        <v>153</v>
      </c>
      <c r="B17">
        <v>29</v>
      </c>
      <c r="D17">
        <v>27</v>
      </c>
      <c r="E17">
        <v>56</v>
      </c>
      <c r="F17">
        <v>35</v>
      </c>
      <c r="G17">
        <v>61</v>
      </c>
      <c r="H17">
        <v>22</v>
      </c>
      <c r="I17">
        <v>118</v>
      </c>
      <c r="J17">
        <v>75</v>
      </c>
      <c r="K17">
        <v>67</v>
      </c>
      <c r="L17">
        <v>35</v>
      </c>
      <c r="M17">
        <v>177</v>
      </c>
      <c r="N17">
        <v>25</v>
      </c>
      <c r="O17">
        <v>20</v>
      </c>
      <c r="P17">
        <v>113</v>
      </c>
      <c r="Q17">
        <v>158</v>
      </c>
      <c r="R17">
        <v>509</v>
      </c>
    </row>
    <row r="18" spans="1:18" x14ac:dyDescent="0.3">
      <c r="A18" s="13" t="s">
        <v>30</v>
      </c>
      <c r="B18">
        <v>46</v>
      </c>
      <c r="C18">
        <v>49</v>
      </c>
      <c r="D18">
        <v>39</v>
      </c>
      <c r="E18">
        <v>134</v>
      </c>
      <c r="F18">
        <v>32</v>
      </c>
      <c r="G18">
        <v>58</v>
      </c>
      <c r="H18">
        <v>21</v>
      </c>
      <c r="I18">
        <v>111</v>
      </c>
      <c r="J18">
        <v>87</v>
      </c>
      <c r="K18">
        <v>14</v>
      </c>
      <c r="L18">
        <v>31</v>
      </c>
      <c r="M18">
        <v>132</v>
      </c>
      <c r="N18">
        <v>17</v>
      </c>
      <c r="O18">
        <v>13</v>
      </c>
      <c r="P18">
        <v>20</v>
      </c>
      <c r="Q18">
        <v>50</v>
      </c>
      <c r="R18">
        <v>427</v>
      </c>
    </row>
    <row r="19" spans="1:18" x14ac:dyDescent="0.3">
      <c r="A19" s="13" t="s">
        <v>120</v>
      </c>
      <c r="B19">
        <v>61</v>
      </c>
      <c r="D19">
        <v>13</v>
      </c>
      <c r="E19">
        <v>74</v>
      </c>
      <c r="F19">
        <v>54</v>
      </c>
      <c r="G19">
        <v>46</v>
      </c>
      <c r="H19">
        <v>19</v>
      </c>
      <c r="I19">
        <v>119</v>
      </c>
      <c r="J19">
        <v>63</v>
      </c>
      <c r="L19">
        <v>18</v>
      </c>
      <c r="M19">
        <v>81</v>
      </c>
      <c r="N19">
        <v>42</v>
      </c>
      <c r="O19">
        <v>25</v>
      </c>
      <c r="P19">
        <v>44</v>
      </c>
      <c r="Q19">
        <v>111</v>
      </c>
      <c r="R19">
        <v>385</v>
      </c>
    </row>
    <row r="20" spans="1:18" x14ac:dyDescent="0.3">
      <c r="A20" s="13" t="s">
        <v>172</v>
      </c>
      <c r="B20">
        <v>47</v>
      </c>
      <c r="C20">
        <v>9</v>
      </c>
      <c r="D20">
        <v>37</v>
      </c>
      <c r="E20">
        <v>93</v>
      </c>
      <c r="F20">
        <v>45</v>
      </c>
      <c r="G20">
        <v>49</v>
      </c>
      <c r="H20">
        <v>14</v>
      </c>
      <c r="I20">
        <v>108</v>
      </c>
      <c r="J20">
        <v>30</v>
      </c>
      <c r="K20">
        <v>51</v>
      </c>
      <c r="L20">
        <v>7</v>
      </c>
      <c r="M20">
        <v>88</v>
      </c>
      <c r="N20">
        <v>16</v>
      </c>
      <c r="O20">
        <v>34</v>
      </c>
      <c r="P20">
        <v>38</v>
      </c>
      <c r="Q20">
        <v>88</v>
      </c>
      <c r="R20">
        <v>377</v>
      </c>
    </row>
    <row r="21" spans="1:18" x14ac:dyDescent="0.3">
      <c r="A21" s="13" t="s">
        <v>177</v>
      </c>
      <c r="B21">
        <v>26</v>
      </c>
      <c r="C21">
        <v>36</v>
      </c>
      <c r="D21">
        <v>58</v>
      </c>
      <c r="E21">
        <v>120</v>
      </c>
      <c r="F21">
        <v>16</v>
      </c>
      <c r="G21">
        <v>30</v>
      </c>
      <c r="H21">
        <v>62</v>
      </c>
      <c r="I21">
        <v>108</v>
      </c>
      <c r="J21">
        <v>27</v>
      </c>
      <c r="K21">
        <v>23</v>
      </c>
      <c r="L21">
        <v>11</v>
      </c>
      <c r="M21">
        <v>61</v>
      </c>
      <c r="N21">
        <v>42</v>
      </c>
      <c r="O21">
        <v>23</v>
      </c>
      <c r="P21">
        <v>21</v>
      </c>
      <c r="Q21">
        <v>86</v>
      </c>
      <c r="R21">
        <v>375</v>
      </c>
    </row>
    <row r="22" spans="1:18" x14ac:dyDescent="0.3">
      <c r="A22" s="13" t="s">
        <v>125</v>
      </c>
      <c r="B22">
        <v>43</v>
      </c>
      <c r="C22">
        <v>15</v>
      </c>
      <c r="D22">
        <v>10</v>
      </c>
      <c r="E22">
        <v>68</v>
      </c>
      <c r="F22">
        <v>10</v>
      </c>
      <c r="G22">
        <v>34</v>
      </c>
      <c r="H22">
        <v>44</v>
      </c>
      <c r="I22">
        <v>88</v>
      </c>
      <c r="J22">
        <v>2</v>
      </c>
      <c r="K22">
        <v>29</v>
      </c>
      <c r="L22">
        <v>29</v>
      </c>
      <c r="M22">
        <v>60</v>
      </c>
      <c r="N22">
        <v>84</v>
      </c>
      <c r="O22">
        <v>29</v>
      </c>
      <c r="P22">
        <v>37</v>
      </c>
      <c r="Q22">
        <v>150</v>
      </c>
      <c r="R22">
        <v>366</v>
      </c>
    </row>
    <row r="23" spans="1:18" x14ac:dyDescent="0.3">
      <c r="A23" s="13" t="s">
        <v>165</v>
      </c>
      <c r="B23">
        <v>28</v>
      </c>
      <c r="C23">
        <v>35</v>
      </c>
      <c r="D23">
        <v>26</v>
      </c>
      <c r="E23">
        <v>89</v>
      </c>
      <c r="F23">
        <v>5</v>
      </c>
      <c r="G23">
        <v>12</v>
      </c>
      <c r="H23">
        <v>29</v>
      </c>
      <c r="I23">
        <v>46</v>
      </c>
      <c r="J23">
        <v>50</v>
      </c>
      <c r="K23">
        <v>40</v>
      </c>
      <c r="L23">
        <v>22</v>
      </c>
      <c r="M23">
        <v>112</v>
      </c>
      <c r="N23">
        <v>19</v>
      </c>
      <c r="O23">
        <v>28</v>
      </c>
      <c r="P23">
        <v>26</v>
      </c>
      <c r="Q23">
        <v>73</v>
      </c>
      <c r="R23">
        <v>320</v>
      </c>
    </row>
    <row r="24" spans="1:18" x14ac:dyDescent="0.3">
      <c r="A24" s="13" t="s">
        <v>168</v>
      </c>
      <c r="B24">
        <v>28</v>
      </c>
      <c r="C24">
        <v>12</v>
      </c>
      <c r="D24">
        <v>10</v>
      </c>
      <c r="E24">
        <v>50</v>
      </c>
      <c r="F24">
        <v>29</v>
      </c>
      <c r="G24">
        <v>89</v>
      </c>
      <c r="H24">
        <v>18</v>
      </c>
      <c r="I24">
        <v>136</v>
      </c>
      <c r="J24">
        <v>46</v>
      </c>
      <c r="K24">
        <v>15</v>
      </c>
      <c r="L24">
        <v>19</v>
      </c>
      <c r="M24">
        <v>80</v>
      </c>
      <c r="N24">
        <v>8</v>
      </c>
      <c r="O24">
        <v>12</v>
      </c>
      <c r="P24">
        <v>30</v>
      </c>
      <c r="Q24">
        <v>50</v>
      </c>
      <c r="R24">
        <v>316</v>
      </c>
    </row>
    <row r="25" spans="1:18" x14ac:dyDescent="0.3">
      <c r="A25" s="13" t="s">
        <v>139</v>
      </c>
      <c r="B25">
        <v>35</v>
      </c>
      <c r="C25">
        <v>14</v>
      </c>
      <c r="D25">
        <v>7</v>
      </c>
      <c r="E25">
        <v>56</v>
      </c>
      <c r="F25">
        <v>35</v>
      </c>
      <c r="G25">
        <v>39</v>
      </c>
      <c r="H25">
        <v>25</v>
      </c>
      <c r="I25">
        <v>99</v>
      </c>
      <c r="J25">
        <v>12</v>
      </c>
      <c r="K25">
        <v>25</v>
      </c>
      <c r="L25">
        <v>20</v>
      </c>
      <c r="M25">
        <v>57</v>
      </c>
      <c r="N25">
        <v>29</v>
      </c>
      <c r="O25">
        <v>35</v>
      </c>
      <c r="P25">
        <v>31</v>
      </c>
      <c r="Q25">
        <v>95</v>
      </c>
      <c r="R25">
        <v>307</v>
      </c>
    </row>
    <row r="26" spans="1:18" x14ac:dyDescent="0.3">
      <c r="A26" s="13" t="s">
        <v>180</v>
      </c>
      <c r="B26">
        <v>22</v>
      </c>
      <c r="C26">
        <v>18</v>
      </c>
      <c r="D26">
        <v>51</v>
      </c>
      <c r="E26">
        <v>91</v>
      </c>
      <c r="F26">
        <v>51</v>
      </c>
      <c r="G26">
        <v>17</v>
      </c>
      <c r="I26">
        <v>68</v>
      </c>
      <c r="J26">
        <v>26</v>
      </c>
      <c r="M26">
        <v>26</v>
      </c>
      <c r="N26">
        <v>56</v>
      </c>
      <c r="O26">
        <v>45</v>
      </c>
      <c r="P26">
        <v>19</v>
      </c>
      <c r="Q26">
        <v>120</v>
      </c>
      <c r="R26">
        <v>305</v>
      </c>
    </row>
    <row r="27" spans="1:18" x14ac:dyDescent="0.3">
      <c r="A27" s="13" t="s">
        <v>113</v>
      </c>
      <c r="B27">
        <v>16</v>
      </c>
      <c r="C27">
        <v>45</v>
      </c>
      <c r="D27">
        <v>12</v>
      </c>
      <c r="E27">
        <v>73</v>
      </c>
      <c r="F27">
        <v>19</v>
      </c>
      <c r="G27">
        <v>17</v>
      </c>
      <c r="H27">
        <v>5</v>
      </c>
      <c r="I27">
        <v>41</v>
      </c>
      <c r="J27">
        <v>56</v>
      </c>
      <c r="K27">
        <v>20</v>
      </c>
      <c r="L27">
        <v>15</v>
      </c>
      <c r="M27">
        <v>91</v>
      </c>
      <c r="N27">
        <v>39</v>
      </c>
      <c r="O27">
        <v>35</v>
      </c>
      <c r="P27">
        <v>24</v>
      </c>
      <c r="Q27">
        <v>98</v>
      </c>
      <c r="R27">
        <v>303</v>
      </c>
    </row>
    <row r="28" spans="1:18" x14ac:dyDescent="0.3">
      <c r="A28" s="13" t="s">
        <v>144</v>
      </c>
      <c r="B28">
        <v>56</v>
      </c>
      <c r="D28">
        <v>24</v>
      </c>
      <c r="E28">
        <v>80</v>
      </c>
      <c r="F28">
        <v>44</v>
      </c>
      <c r="G28">
        <v>42</v>
      </c>
      <c r="I28">
        <v>86</v>
      </c>
      <c r="K28">
        <v>28</v>
      </c>
      <c r="L28">
        <v>4</v>
      </c>
      <c r="M28">
        <v>32</v>
      </c>
      <c r="N28">
        <v>15</v>
      </c>
      <c r="O28">
        <v>80</v>
      </c>
      <c r="P28">
        <v>8</v>
      </c>
      <c r="Q28">
        <v>103</v>
      </c>
      <c r="R28">
        <v>301</v>
      </c>
    </row>
    <row r="29" spans="1:18" x14ac:dyDescent="0.3">
      <c r="A29" s="13" t="s">
        <v>132</v>
      </c>
      <c r="B29">
        <v>48</v>
      </c>
      <c r="C29">
        <v>9</v>
      </c>
      <c r="D29">
        <v>25</v>
      </c>
      <c r="E29">
        <v>82</v>
      </c>
      <c r="F29">
        <v>25</v>
      </c>
      <c r="G29">
        <v>22</v>
      </c>
      <c r="H29">
        <v>3</v>
      </c>
      <c r="I29">
        <v>50</v>
      </c>
      <c r="J29">
        <v>51</v>
      </c>
      <c r="K29">
        <v>18</v>
      </c>
      <c r="L29">
        <v>28</v>
      </c>
      <c r="M29">
        <v>97</v>
      </c>
      <c r="N29">
        <v>26</v>
      </c>
      <c r="O29">
        <v>14</v>
      </c>
      <c r="P29">
        <v>20</v>
      </c>
      <c r="Q29">
        <v>60</v>
      </c>
      <c r="R29">
        <v>289</v>
      </c>
    </row>
    <row r="30" spans="1:18" x14ac:dyDescent="0.3">
      <c r="A30" s="13" t="s">
        <v>29</v>
      </c>
      <c r="B30">
        <v>20</v>
      </c>
      <c r="C30">
        <v>26</v>
      </c>
      <c r="D30">
        <v>8</v>
      </c>
      <c r="E30">
        <v>54</v>
      </c>
      <c r="F30">
        <v>14</v>
      </c>
      <c r="G30">
        <v>6</v>
      </c>
      <c r="H30">
        <v>31</v>
      </c>
      <c r="I30">
        <v>51</v>
      </c>
      <c r="J30">
        <v>33</v>
      </c>
      <c r="K30">
        <v>31</v>
      </c>
      <c r="L30">
        <v>26</v>
      </c>
      <c r="M30">
        <v>90</v>
      </c>
      <c r="N30">
        <v>21</v>
      </c>
      <c r="O30">
        <v>18</v>
      </c>
      <c r="P30">
        <v>36</v>
      </c>
      <c r="Q30">
        <v>75</v>
      </c>
      <c r="R30">
        <v>270</v>
      </c>
    </row>
    <row r="31" spans="1:18" x14ac:dyDescent="0.3">
      <c r="A31" s="13" t="s">
        <v>28</v>
      </c>
      <c r="B31">
        <v>34</v>
      </c>
      <c r="D31">
        <v>19</v>
      </c>
      <c r="E31">
        <v>53</v>
      </c>
      <c r="F31">
        <v>20</v>
      </c>
      <c r="G31">
        <v>38</v>
      </c>
      <c r="H31">
        <v>62</v>
      </c>
      <c r="I31">
        <v>120</v>
      </c>
      <c r="J31">
        <v>14</v>
      </c>
      <c r="K31">
        <v>37</v>
      </c>
      <c r="L31">
        <v>1</v>
      </c>
      <c r="M31">
        <v>52</v>
      </c>
      <c r="O31">
        <v>39</v>
      </c>
      <c r="P31">
        <v>4</v>
      </c>
      <c r="Q31">
        <v>43</v>
      </c>
      <c r="R31">
        <v>268</v>
      </c>
    </row>
    <row r="32" spans="1:18" x14ac:dyDescent="0.3">
      <c r="A32" s="13" t="s">
        <v>147</v>
      </c>
      <c r="B32">
        <v>9</v>
      </c>
      <c r="C32">
        <v>31</v>
      </c>
      <c r="D32">
        <v>4</v>
      </c>
      <c r="E32">
        <v>44</v>
      </c>
      <c r="F32">
        <v>31</v>
      </c>
      <c r="G32">
        <v>32</v>
      </c>
      <c r="H32">
        <v>17</v>
      </c>
      <c r="I32">
        <v>80</v>
      </c>
      <c r="J32">
        <v>15</v>
      </c>
      <c r="K32">
        <v>23</v>
      </c>
      <c r="M32">
        <v>38</v>
      </c>
      <c r="N32">
        <v>22</v>
      </c>
      <c r="O32">
        <v>5</v>
      </c>
      <c r="P32">
        <v>36</v>
      </c>
      <c r="Q32">
        <v>63</v>
      </c>
      <c r="R32">
        <v>225</v>
      </c>
    </row>
    <row r="33" spans="1:18" x14ac:dyDescent="0.3">
      <c r="A33" s="13" t="s">
        <v>26</v>
      </c>
      <c r="B33">
        <v>24</v>
      </c>
      <c r="C33">
        <v>31</v>
      </c>
      <c r="D33">
        <v>7</v>
      </c>
      <c r="E33">
        <v>62</v>
      </c>
      <c r="F33">
        <v>22</v>
      </c>
      <c r="H33">
        <v>10</v>
      </c>
      <c r="I33">
        <v>32</v>
      </c>
      <c r="J33">
        <v>9</v>
      </c>
      <c r="L33">
        <v>26</v>
      </c>
      <c r="M33">
        <v>35</v>
      </c>
      <c r="N33">
        <v>32</v>
      </c>
      <c r="O33">
        <v>35</v>
      </c>
      <c r="P33">
        <v>4</v>
      </c>
      <c r="Q33">
        <v>71</v>
      </c>
      <c r="R33">
        <v>200</v>
      </c>
    </row>
    <row r="34" spans="1:18" x14ac:dyDescent="0.3">
      <c r="A34" s="13" t="s">
        <v>183</v>
      </c>
      <c r="B34">
        <v>3</v>
      </c>
      <c r="C34">
        <v>15</v>
      </c>
      <c r="D34">
        <v>5</v>
      </c>
      <c r="E34">
        <v>23</v>
      </c>
      <c r="F34">
        <v>14</v>
      </c>
      <c r="G34">
        <v>49</v>
      </c>
      <c r="I34">
        <v>63</v>
      </c>
      <c r="J34">
        <v>11</v>
      </c>
      <c r="K34">
        <v>17</v>
      </c>
      <c r="L34">
        <v>37</v>
      </c>
      <c r="M34">
        <v>65</v>
      </c>
      <c r="N34">
        <v>18</v>
      </c>
      <c r="O34">
        <v>19</v>
      </c>
      <c r="P34">
        <v>7</v>
      </c>
      <c r="Q34">
        <v>44</v>
      </c>
      <c r="R34">
        <v>195</v>
      </c>
    </row>
    <row r="35" spans="1:18" x14ac:dyDescent="0.3">
      <c r="A35" s="13" t="s">
        <v>682</v>
      </c>
      <c r="B35">
        <v>898</v>
      </c>
      <c r="C35">
        <v>691</v>
      </c>
      <c r="D35">
        <v>808</v>
      </c>
      <c r="E35">
        <v>2397</v>
      </c>
      <c r="F35">
        <v>781</v>
      </c>
      <c r="G35">
        <v>1161</v>
      </c>
      <c r="H35">
        <v>819</v>
      </c>
      <c r="I35">
        <v>2761</v>
      </c>
      <c r="J35">
        <v>1063</v>
      </c>
      <c r="K35">
        <v>935</v>
      </c>
      <c r="L35">
        <v>740</v>
      </c>
      <c r="M35">
        <v>2738</v>
      </c>
      <c r="N35">
        <v>948</v>
      </c>
      <c r="O35">
        <v>970</v>
      </c>
      <c r="P35">
        <v>960</v>
      </c>
      <c r="Q35">
        <v>2878</v>
      </c>
      <c r="R35">
        <v>10774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5D2C4-1623-4B4F-905F-F6E9D126BD87}">
  <dimension ref="B1:D25"/>
  <sheetViews>
    <sheetView workbookViewId="0">
      <pane xSplit="1" ySplit="8" topLeftCell="B9" activePane="bottomRight" state="frozen"/>
      <selection activeCell="G3" sqref="G3"/>
      <selection pane="topRight" activeCell="G3" sqref="G3"/>
      <selection pane="bottomLeft" activeCell="G3" sqref="G3"/>
      <selection pane="bottomRight" activeCell="G3" sqref="G3"/>
    </sheetView>
  </sheetViews>
  <sheetFormatPr defaultRowHeight="14.4" x14ac:dyDescent="0.3"/>
  <cols>
    <col min="1" max="1" width="12.109375" bestFit="1" customWidth="1"/>
    <col min="2" max="2" width="29.21875" customWidth="1"/>
    <col min="3" max="3" width="21.33203125" bestFit="1" customWidth="1"/>
    <col min="4" max="4" width="18.33203125" bestFit="1" customWidth="1"/>
    <col min="5" max="18" width="12.109375" bestFit="1" customWidth="1"/>
    <col min="19" max="20" width="10.77734375" bestFit="1" customWidth="1"/>
    <col min="21" max="347" width="12.5546875" bestFit="1" customWidth="1"/>
    <col min="348" max="348" width="10.77734375" bestFit="1" customWidth="1"/>
  </cols>
  <sheetData>
    <row r="1" spans="2:4" x14ac:dyDescent="0.3">
      <c r="B1" t="s">
        <v>69</v>
      </c>
    </row>
    <row r="2" spans="2:4" x14ac:dyDescent="0.3">
      <c r="B2" t="s">
        <v>711</v>
      </c>
    </row>
    <row r="3" spans="2:4" x14ac:dyDescent="0.3">
      <c r="B3" t="s">
        <v>712</v>
      </c>
    </row>
    <row r="4" spans="2:4" x14ac:dyDescent="0.3">
      <c r="B4" t="s">
        <v>713</v>
      </c>
    </row>
    <row r="6" spans="2:4" x14ac:dyDescent="0.3">
      <c r="B6" t="s">
        <v>714</v>
      </c>
    </row>
    <row r="8" spans="2:4" s="15" customFormat="1" ht="37.950000000000003" customHeight="1" x14ac:dyDescent="0.3">
      <c r="B8" s="18"/>
      <c r="C8" s="19"/>
      <c r="D8" s="20"/>
    </row>
    <row r="9" spans="2:4" x14ac:dyDescent="0.3">
      <c r="B9" s="21"/>
      <c r="C9" s="22"/>
      <c r="D9" s="23"/>
    </row>
    <row r="10" spans="2:4" x14ac:dyDescent="0.3">
      <c r="B10" s="21"/>
      <c r="C10" s="22"/>
      <c r="D10" s="23"/>
    </row>
    <row r="11" spans="2:4" x14ac:dyDescent="0.3">
      <c r="B11" s="21"/>
      <c r="C11" s="22"/>
      <c r="D11" s="23"/>
    </row>
    <row r="12" spans="2:4" x14ac:dyDescent="0.3">
      <c r="B12" s="21"/>
      <c r="C12" s="22"/>
      <c r="D12" s="23"/>
    </row>
    <row r="13" spans="2:4" x14ac:dyDescent="0.3">
      <c r="B13" s="21"/>
      <c r="C13" s="22"/>
      <c r="D13" s="23"/>
    </row>
    <row r="14" spans="2:4" x14ac:dyDescent="0.3">
      <c r="B14" s="21"/>
      <c r="C14" s="22"/>
      <c r="D14" s="23"/>
    </row>
    <row r="15" spans="2:4" x14ac:dyDescent="0.3">
      <c r="B15" s="21"/>
      <c r="C15" s="22"/>
      <c r="D15" s="23"/>
    </row>
    <row r="16" spans="2:4" x14ac:dyDescent="0.3">
      <c r="B16" s="21"/>
      <c r="C16" s="22"/>
      <c r="D16" s="23"/>
    </row>
    <row r="17" spans="2:4" x14ac:dyDescent="0.3">
      <c r="B17" s="21"/>
      <c r="C17" s="22"/>
      <c r="D17" s="23"/>
    </row>
    <row r="18" spans="2:4" x14ac:dyDescent="0.3">
      <c r="B18" s="21"/>
      <c r="C18" s="22"/>
      <c r="D18" s="23"/>
    </row>
    <row r="19" spans="2:4" x14ac:dyDescent="0.3">
      <c r="B19" s="21"/>
      <c r="C19" s="22"/>
      <c r="D19" s="23"/>
    </row>
    <row r="20" spans="2:4" x14ac:dyDescent="0.3">
      <c r="B20" s="21"/>
      <c r="C20" s="22"/>
      <c r="D20" s="23"/>
    </row>
    <row r="21" spans="2:4" x14ac:dyDescent="0.3">
      <c r="B21" s="21"/>
      <c r="C21" s="22"/>
      <c r="D21" s="23"/>
    </row>
    <row r="22" spans="2:4" x14ac:dyDescent="0.3">
      <c r="B22" s="21"/>
      <c r="C22" s="22"/>
      <c r="D22" s="23"/>
    </row>
    <row r="23" spans="2:4" x14ac:dyDescent="0.3">
      <c r="B23" s="21"/>
      <c r="C23" s="22"/>
      <c r="D23" s="23"/>
    </row>
    <row r="24" spans="2:4" x14ac:dyDescent="0.3">
      <c r="B24" s="21"/>
      <c r="C24" s="22"/>
      <c r="D24" s="23"/>
    </row>
    <row r="25" spans="2:4" x14ac:dyDescent="0.3">
      <c r="B25" s="24"/>
      <c r="C25" s="25"/>
      <c r="D25" s="26"/>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FA260-1C5C-4B83-B037-648F6E2E02B3}">
  <dimension ref="B1:D25"/>
  <sheetViews>
    <sheetView workbookViewId="0">
      <pane xSplit="1" ySplit="8" topLeftCell="B9" activePane="bottomRight" state="frozen"/>
      <selection activeCell="G3" sqref="G3"/>
      <selection pane="topRight" activeCell="G3" sqref="G3"/>
      <selection pane="bottomLeft" activeCell="G3" sqref="G3"/>
      <selection pane="bottomRight" activeCell="G3" sqref="G3"/>
    </sheetView>
  </sheetViews>
  <sheetFormatPr defaultRowHeight="14.4" x14ac:dyDescent="0.3"/>
  <cols>
    <col min="1" max="1" width="12.109375" bestFit="1" customWidth="1"/>
    <col min="2" max="2" width="29.21875" customWidth="1"/>
    <col min="3" max="3" width="22.109375" bestFit="1" customWidth="1"/>
    <col min="4" max="4" width="18.33203125" bestFit="1" customWidth="1"/>
    <col min="5" max="18" width="12.109375" bestFit="1" customWidth="1"/>
    <col min="19" max="20" width="10.77734375" bestFit="1" customWidth="1"/>
    <col min="21" max="347" width="12.5546875" bestFit="1" customWidth="1"/>
    <col min="348" max="348" width="10.77734375" bestFit="1" customWidth="1"/>
  </cols>
  <sheetData>
    <row r="1" spans="2:4" x14ac:dyDescent="0.3">
      <c r="B1" t="s">
        <v>69</v>
      </c>
    </row>
    <row r="2" spans="2:4" x14ac:dyDescent="0.3">
      <c r="B2" t="s">
        <v>711</v>
      </c>
    </row>
    <row r="3" spans="2:4" x14ac:dyDescent="0.3">
      <c r="B3" t="s">
        <v>715</v>
      </c>
    </row>
    <row r="4" spans="2:4" x14ac:dyDescent="0.3">
      <c r="B4" t="s">
        <v>713</v>
      </c>
    </row>
    <row r="6" spans="2:4" x14ac:dyDescent="0.3">
      <c r="B6" t="s">
        <v>714</v>
      </c>
    </row>
    <row r="8" spans="2:4" s="15" customFormat="1" ht="37.950000000000003" customHeight="1" x14ac:dyDescent="0.3">
      <c r="B8" s="18"/>
      <c r="C8" s="19"/>
      <c r="D8" s="20"/>
    </row>
    <row r="9" spans="2:4" x14ac:dyDescent="0.3">
      <c r="B9" s="21"/>
      <c r="C9" s="22"/>
      <c r="D9" s="23"/>
    </row>
    <row r="10" spans="2:4" x14ac:dyDescent="0.3">
      <c r="B10" s="21"/>
      <c r="C10" s="22"/>
      <c r="D10" s="23"/>
    </row>
    <row r="11" spans="2:4" x14ac:dyDescent="0.3">
      <c r="B11" s="21"/>
      <c r="C11" s="22"/>
      <c r="D11" s="23"/>
    </row>
    <row r="12" spans="2:4" x14ac:dyDescent="0.3">
      <c r="B12" s="21"/>
      <c r="C12" s="22"/>
      <c r="D12" s="23"/>
    </row>
    <row r="13" spans="2:4" x14ac:dyDescent="0.3">
      <c r="B13" s="21"/>
      <c r="C13" s="22"/>
      <c r="D13" s="23"/>
    </row>
    <row r="14" spans="2:4" x14ac:dyDescent="0.3">
      <c r="B14" s="21"/>
      <c r="C14" s="22"/>
      <c r="D14" s="23"/>
    </row>
    <row r="15" spans="2:4" x14ac:dyDescent="0.3">
      <c r="B15" s="21"/>
      <c r="C15" s="22"/>
      <c r="D15" s="23"/>
    </row>
    <row r="16" spans="2:4" x14ac:dyDescent="0.3">
      <c r="B16" s="21"/>
      <c r="C16" s="22"/>
      <c r="D16" s="23"/>
    </row>
    <row r="17" spans="2:4" x14ac:dyDescent="0.3">
      <c r="B17" s="21"/>
      <c r="C17" s="22"/>
      <c r="D17" s="23"/>
    </row>
    <row r="18" spans="2:4" x14ac:dyDescent="0.3">
      <c r="B18" s="21"/>
      <c r="C18" s="22"/>
      <c r="D18" s="23"/>
    </row>
    <row r="19" spans="2:4" x14ac:dyDescent="0.3">
      <c r="B19" s="21"/>
      <c r="C19" s="22"/>
      <c r="D19" s="23"/>
    </row>
    <row r="20" spans="2:4" x14ac:dyDescent="0.3">
      <c r="B20" s="21"/>
      <c r="C20" s="22"/>
      <c r="D20" s="23"/>
    </row>
    <row r="21" spans="2:4" x14ac:dyDescent="0.3">
      <c r="B21" s="21"/>
      <c r="C21" s="22"/>
      <c r="D21" s="23"/>
    </row>
    <row r="22" spans="2:4" x14ac:dyDescent="0.3">
      <c r="B22" s="21"/>
      <c r="C22" s="22"/>
      <c r="D22" s="23"/>
    </row>
    <row r="23" spans="2:4" x14ac:dyDescent="0.3">
      <c r="B23" s="21"/>
      <c r="C23" s="22"/>
      <c r="D23" s="23"/>
    </row>
    <row r="24" spans="2:4" x14ac:dyDescent="0.3">
      <c r="B24" s="21"/>
      <c r="C24" s="22"/>
      <c r="D24" s="23"/>
    </row>
    <row r="25" spans="2:4" x14ac:dyDescent="0.3">
      <c r="B25" s="24"/>
      <c r="C25" s="25"/>
      <c r="D25" s="26"/>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0A557-D28B-4296-826D-4061657CE886}">
  <dimension ref="A1:C27"/>
  <sheetViews>
    <sheetView workbookViewId="0">
      <selection activeCell="M7" sqref="M7"/>
    </sheetView>
  </sheetViews>
  <sheetFormatPr defaultRowHeight="14.4" x14ac:dyDescent="0.3"/>
  <cols>
    <col min="1" max="1" width="22.109375" bestFit="1" customWidth="1"/>
    <col min="2" max="2" width="18.33203125" bestFit="1" customWidth="1"/>
  </cols>
  <sheetData>
    <row r="1" spans="1:3" x14ac:dyDescent="0.3">
      <c r="A1" s="1" t="s">
        <v>70</v>
      </c>
    </row>
    <row r="2" spans="1:3" x14ac:dyDescent="0.3">
      <c r="A2" s="2" t="s">
        <v>71</v>
      </c>
    </row>
    <row r="10" spans="1:3" x14ac:dyDescent="0.3">
      <c r="A10" s="18"/>
      <c r="B10" s="19"/>
      <c r="C10" s="20"/>
    </row>
    <row r="11" spans="1:3" x14ac:dyDescent="0.3">
      <c r="A11" s="21"/>
      <c r="B11" s="22"/>
      <c r="C11" s="23"/>
    </row>
    <row r="12" spans="1:3" x14ac:dyDescent="0.3">
      <c r="A12" s="21"/>
      <c r="B12" s="22"/>
      <c r="C12" s="23"/>
    </row>
    <row r="13" spans="1:3" x14ac:dyDescent="0.3">
      <c r="A13" s="21"/>
      <c r="B13" s="22"/>
      <c r="C13" s="23"/>
    </row>
    <row r="14" spans="1:3" x14ac:dyDescent="0.3">
      <c r="A14" s="21"/>
      <c r="B14" s="22"/>
      <c r="C14" s="23"/>
    </row>
    <row r="15" spans="1:3" x14ac:dyDescent="0.3">
      <c r="A15" s="21"/>
      <c r="B15" s="22"/>
      <c r="C15" s="23"/>
    </row>
    <row r="16" spans="1:3" x14ac:dyDescent="0.3">
      <c r="A16" s="21"/>
      <c r="B16" s="22"/>
      <c r="C16" s="23"/>
    </row>
    <row r="17" spans="1:3" x14ac:dyDescent="0.3">
      <c r="A17" s="21"/>
      <c r="B17" s="22"/>
      <c r="C17" s="23"/>
    </row>
    <row r="18" spans="1:3" x14ac:dyDescent="0.3">
      <c r="A18" s="21"/>
      <c r="B18" s="22"/>
      <c r="C18" s="23"/>
    </row>
    <row r="19" spans="1:3" x14ac:dyDescent="0.3">
      <c r="A19" s="21"/>
      <c r="B19" s="22"/>
      <c r="C19" s="23"/>
    </row>
    <row r="20" spans="1:3" x14ac:dyDescent="0.3">
      <c r="A20" s="21"/>
      <c r="B20" s="22"/>
      <c r="C20" s="23"/>
    </row>
    <row r="21" spans="1:3" x14ac:dyDescent="0.3">
      <c r="A21" s="21"/>
      <c r="B21" s="22"/>
      <c r="C21" s="23"/>
    </row>
    <row r="22" spans="1:3" x14ac:dyDescent="0.3">
      <c r="A22" s="21"/>
      <c r="B22" s="22"/>
      <c r="C22" s="23"/>
    </row>
    <row r="23" spans="1:3" x14ac:dyDescent="0.3">
      <c r="A23" s="21"/>
      <c r="B23" s="22"/>
      <c r="C23" s="23"/>
    </row>
    <row r="24" spans="1:3" x14ac:dyDescent="0.3">
      <c r="A24" s="21"/>
      <c r="B24" s="22"/>
      <c r="C24" s="23"/>
    </row>
    <row r="25" spans="1:3" x14ac:dyDescent="0.3">
      <c r="A25" s="21"/>
      <c r="B25" s="22"/>
      <c r="C25" s="23"/>
    </row>
    <row r="26" spans="1:3" x14ac:dyDescent="0.3">
      <c r="A26" s="21"/>
      <c r="B26" s="22"/>
      <c r="C26" s="23"/>
    </row>
    <row r="27" spans="1:3" x14ac:dyDescent="0.3">
      <c r="A27" s="24"/>
      <c r="B27" s="25"/>
      <c r="C27" s="26"/>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7ED77-D8BA-411A-8884-EE5992FF4672}">
  <dimension ref="A1:A34"/>
  <sheetViews>
    <sheetView zoomScale="130" zoomScaleNormal="130" workbookViewId="0">
      <selection activeCell="B13" sqref="B13"/>
    </sheetView>
  </sheetViews>
  <sheetFormatPr defaultRowHeight="14.4" x14ac:dyDescent="0.3"/>
  <cols>
    <col min="1" max="1" width="14.5546875" bestFit="1" customWidth="1"/>
    <col min="2" max="2" width="20.77734375" bestFit="1" customWidth="1"/>
  </cols>
  <sheetData>
    <row r="1" spans="1:1" x14ac:dyDescent="0.3">
      <c r="A1" t="s">
        <v>722</v>
      </c>
    </row>
    <row r="5" spans="1:1" x14ac:dyDescent="0.3">
      <c r="A5" s="3" t="s">
        <v>17</v>
      </c>
    </row>
    <row r="6" spans="1:1" x14ac:dyDescent="0.3">
      <c r="A6" t="s">
        <v>165</v>
      </c>
    </row>
    <row r="7" spans="1:1" x14ac:dyDescent="0.3">
      <c r="A7" t="s">
        <v>168</v>
      </c>
    </row>
    <row r="8" spans="1:1" x14ac:dyDescent="0.3">
      <c r="A8" t="s">
        <v>147</v>
      </c>
    </row>
    <row r="9" spans="1:1" x14ac:dyDescent="0.3">
      <c r="A9" t="s">
        <v>31</v>
      </c>
    </row>
    <row r="10" spans="1:1" x14ac:dyDescent="0.3">
      <c r="A10" t="s">
        <v>139</v>
      </c>
    </row>
    <row r="11" spans="1:1" x14ac:dyDescent="0.3">
      <c r="A11" t="s">
        <v>107</v>
      </c>
    </row>
    <row r="12" spans="1:1" x14ac:dyDescent="0.3">
      <c r="A12" t="s">
        <v>29</v>
      </c>
    </row>
    <row r="13" spans="1:1" x14ac:dyDescent="0.3">
      <c r="A13" t="s">
        <v>120</v>
      </c>
    </row>
    <row r="14" spans="1:1" x14ac:dyDescent="0.3">
      <c r="A14" t="s">
        <v>177</v>
      </c>
    </row>
    <row r="15" spans="1:1" x14ac:dyDescent="0.3">
      <c r="A15" t="s">
        <v>180</v>
      </c>
    </row>
    <row r="16" spans="1:1" x14ac:dyDescent="0.3">
      <c r="A16" t="s">
        <v>128</v>
      </c>
    </row>
    <row r="17" spans="1:1" x14ac:dyDescent="0.3">
      <c r="A17" t="s">
        <v>144</v>
      </c>
    </row>
    <row r="18" spans="1:1" x14ac:dyDescent="0.3">
      <c r="A18" t="s">
        <v>183</v>
      </c>
    </row>
    <row r="19" spans="1:1" x14ac:dyDescent="0.3">
      <c r="A19" t="s">
        <v>113</v>
      </c>
    </row>
    <row r="20" spans="1:1" x14ac:dyDescent="0.3">
      <c r="A20" t="s">
        <v>172</v>
      </c>
    </row>
    <row r="21" spans="1:1" x14ac:dyDescent="0.3">
      <c r="A21" t="s">
        <v>136</v>
      </c>
    </row>
    <row r="22" spans="1:1" x14ac:dyDescent="0.3">
      <c r="A22" t="s">
        <v>153</v>
      </c>
    </row>
    <row r="23" spans="1:1" x14ac:dyDescent="0.3">
      <c r="A23" t="s">
        <v>27</v>
      </c>
    </row>
    <row r="24" spans="1:1" x14ac:dyDescent="0.3">
      <c r="A24" t="s">
        <v>109</v>
      </c>
    </row>
    <row r="25" spans="1:1" x14ac:dyDescent="0.3">
      <c r="A25" t="s">
        <v>132</v>
      </c>
    </row>
    <row r="26" spans="1:1" x14ac:dyDescent="0.3">
      <c r="A26" t="s">
        <v>30</v>
      </c>
    </row>
    <row r="27" spans="1:1" x14ac:dyDescent="0.3">
      <c r="A27" t="s">
        <v>26</v>
      </c>
    </row>
    <row r="28" spans="1:1" x14ac:dyDescent="0.3">
      <c r="A28" t="s">
        <v>116</v>
      </c>
    </row>
    <row r="29" spans="1:1" x14ac:dyDescent="0.3">
      <c r="A29" t="s">
        <v>125</v>
      </c>
    </row>
    <row r="30" spans="1:1" x14ac:dyDescent="0.3">
      <c r="A30" t="s">
        <v>28</v>
      </c>
    </row>
    <row r="34" spans="1:1" x14ac:dyDescent="0.3">
      <c r="A34" t="s">
        <v>723</v>
      </c>
    </row>
  </sheetData>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0196F-0517-494E-99D1-6848C8EF69B0}">
  <dimension ref="A1:J15"/>
  <sheetViews>
    <sheetView zoomScale="110" zoomScaleNormal="110" workbookViewId="0">
      <selection activeCell="A21" sqref="A21"/>
    </sheetView>
  </sheetViews>
  <sheetFormatPr defaultRowHeight="14.4" outlineLevelCol="1" x14ac:dyDescent="0.3"/>
  <cols>
    <col min="1" max="1" width="24" bestFit="1" customWidth="1"/>
    <col min="2" max="3" width="16.21875" bestFit="1" customWidth="1"/>
    <col min="4" max="4" width="18.5546875" bestFit="1" customWidth="1"/>
    <col min="9" max="9" width="55.109375" hidden="1" customWidth="1" outlineLevel="1"/>
    <col min="10" max="10" width="8.77734375" collapsed="1"/>
  </cols>
  <sheetData>
    <row r="1" spans="1:9" x14ac:dyDescent="0.3">
      <c r="A1" t="s">
        <v>720</v>
      </c>
    </row>
    <row r="2" spans="1:9" x14ac:dyDescent="0.3">
      <c r="A2" t="s">
        <v>716</v>
      </c>
    </row>
    <row r="3" spans="1:9" x14ac:dyDescent="0.3">
      <c r="A3" t="s">
        <v>719</v>
      </c>
    </row>
    <row r="4" spans="1:9" x14ac:dyDescent="0.3">
      <c r="A4" t="s">
        <v>721</v>
      </c>
    </row>
    <row r="5" spans="1:9" s="15" customFormat="1" ht="45.45" customHeight="1" x14ac:dyDescent="0.3">
      <c r="A5" s="3" t="s">
        <v>2</v>
      </c>
      <c r="B5" s="14" t="s">
        <v>717</v>
      </c>
      <c r="C5"/>
      <c r="D5"/>
      <c r="I5" s="16" t="s">
        <v>718</v>
      </c>
    </row>
    <row r="6" spans="1:9" x14ac:dyDescent="0.3">
      <c r="A6" t="s">
        <v>6</v>
      </c>
      <c r="B6" t="s">
        <v>20</v>
      </c>
    </row>
    <row r="7" spans="1:9" x14ac:dyDescent="0.3">
      <c r="A7" t="s">
        <v>7</v>
      </c>
      <c r="B7" t="s">
        <v>21</v>
      </c>
    </row>
    <row r="8" spans="1:9" x14ac:dyDescent="0.3">
      <c r="A8" t="s">
        <v>8</v>
      </c>
      <c r="B8" t="s">
        <v>22</v>
      </c>
    </row>
    <row r="9" spans="1:9" x14ac:dyDescent="0.3">
      <c r="A9" t="s">
        <v>9</v>
      </c>
      <c r="B9" t="s">
        <v>23</v>
      </c>
    </row>
    <row r="10" spans="1:9" x14ac:dyDescent="0.3">
      <c r="A10" t="s">
        <v>10</v>
      </c>
      <c r="B10" t="s">
        <v>24</v>
      </c>
    </row>
    <row r="11" spans="1:9" x14ac:dyDescent="0.3">
      <c r="A11" t="s">
        <v>11</v>
      </c>
      <c r="B11" t="s">
        <v>25</v>
      </c>
    </row>
    <row r="12" spans="1:9" x14ac:dyDescent="0.3">
      <c r="A12" t="s">
        <v>73</v>
      </c>
      <c r="B12" t="s">
        <v>106</v>
      </c>
    </row>
    <row r="13" spans="1:9" x14ac:dyDescent="0.3">
      <c r="A13" t="s">
        <v>72</v>
      </c>
      <c r="B13" t="s">
        <v>108</v>
      </c>
    </row>
    <row r="14" spans="1:9" x14ac:dyDescent="0.3">
      <c r="A14" t="s">
        <v>726</v>
      </c>
      <c r="B14" t="s">
        <v>726</v>
      </c>
    </row>
    <row r="15" spans="1:9" x14ac:dyDescent="0.3">
      <c r="A15" t="s">
        <v>682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Props1.xml><?xml version="1.0" encoding="utf-8"?>
<ds:datastoreItem xmlns:ds="http://schemas.openxmlformats.org/officeDocument/2006/customXml" ds:itemID="{7B8CA42F-79C1-49FD-A08F-5AD65525011D}">
  <ds:schemaRefs/>
</ds:datastoreItem>
</file>

<file path=customXml/itemProps2.xml><?xml version="1.0" encoding="utf-8"?>
<ds:datastoreItem xmlns:ds="http://schemas.openxmlformats.org/officeDocument/2006/customXml" ds:itemID="{7E2F8954-D6CD-4BAC-8957-92288212FD91}">
  <ds:schemaRefs/>
</ds:datastoreItem>
</file>

<file path=customXml/itemProps3.xml><?xml version="1.0" encoding="utf-8"?>
<ds:datastoreItem xmlns:ds="http://schemas.openxmlformats.org/officeDocument/2006/customXml" ds:itemID="{C8ECD739-DDA1-41C2-840F-B7288900BE27}">
  <ds:schemaRefs/>
</ds:datastoreItem>
</file>

<file path=customXml/itemProps4.xml><?xml version="1.0" encoding="utf-8"?>
<ds:datastoreItem xmlns:ds="http://schemas.openxmlformats.org/officeDocument/2006/customXml" ds:itemID="{977C4574-C504-41DA-9AA5-DED6D435737B}">
  <ds:schemaRefs/>
</ds:datastoreItem>
</file>

<file path=customXml/itemProps5.xml><?xml version="1.0" encoding="utf-8"?>
<ds:datastoreItem xmlns:ds="http://schemas.openxmlformats.org/officeDocument/2006/customXml" ds:itemID="{1DBC7176-39F1-48FD-8C2A-CC2FDA90B7BD}">
  <ds:schemaRefs/>
</ds:datastoreItem>
</file>

<file path=customXml/itemProps6.xml><?xml version="1.0" encoding="utf-8"?>
<ds:datastoreItem xmlns:ds="http://schemas.openxmlformats.org/officeDocument/2006/customXml" ds:itemID="{341533B9-41F3-4717-A21F-FE607CFDE4EC}">
  <ds:schemaRefs/>
</ds:datastoreItem>
</file>

<file path=customXml/itemProps7.xml><?xml version="1.0" encoding="utf-8"?>
<ds:datastoreItem xmlns:ds="http://schemas.openxmlformats.org/officeDocument/2006/customXml" ds:itemID="{83F61EFD-14AF-45CF-9624-F0C053E9ACC7}">
  <ds:schemaRefs/>
</ds:datastoreItem>
</file>

<file path=customXml/itemProps8.xml><?xml version="1.0" encoding="utf-8"?>
<ds:datastoreItem xmlns:ds="http://schemas.openxmlformats.org/officeDocument/2006/customXml" ds:itemID="{29C235C0-54B6-4345-9C4F-8C69737584B6}">
  <ds:schemaRefs/>
</ds:datastoreItem>
</file>

<file path=customXml/itemProps9.xml><?xml version="1.0" encoding="utf-8"?>
<ds:datastoreItem xmlns:ds="http://schemas.openxmlformats.org/officeDocument/2006/customXml" ds:itemID="{22EF06E3-5BA4-4A34-81F9-A4D2654FB63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Orders</vt:lpstr>
      <vt:lpstr>Orders V1</vt:lpstr>
      <vt:lpstr>Return</vt:lpstr>
      <vt:lpstr>Inventory</vt:lpstr>
      <vt:lpstr>Suppliers Infomation</vt:lpstr>
      <vt:lpstr>Products</vt:lpstr>
      <vt:lpstr>Supplier with Products</vt:lpstr>
      <vt:lpstr>Customers</vt:lpstr>
      <vt:lpstr>Pricing</vt:lpstr>
      <vt:lpstr>Report 1</vt:lpstr>
      <vt:lpstr>Report 1.2</vt:lpstr>
      <vt:lpstr>Report 1.3</vt:lpstr>
      <vt:lpstr>Report 2</vt:lpstr>
      <vt:lpstr>Report 2.1</vt:lpstr>
      <vt:lpstr>Report 4</vt:lpstr>
      <vt:lpstr>Report 5</vt:lpstr>
      <vt:lpstr>Report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Jaideep Singh Narula</dc:creator>
  <cp:lastModifiedBy>Ashima Kakar</cp:lastModifiedBy>
  <dcterms:created xsi:type="dcterms:W3CDTF">2025-03-04T01:42:58Z</dcterms:created>
  <dcterms:modified xsi:type="dcterms:W3CDTF">2026-09-27T05:22:18Z</dcterms:modified>
</cp:coreProperties>
</file>